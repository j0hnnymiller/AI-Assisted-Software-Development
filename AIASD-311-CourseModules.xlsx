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36E0F4F5-34A2-49D4-BD4A-DEF2C83883AC}" xr6:coauthVersionLast="47" xr6:coauthVersionMax="47" xr10:uidLastSave="{00000000-0000-0000-0000-000000000000}"/>
  <bookViews>
    <workbookView xWindow="-110" yWindow="-110" windowWidth="38620" windowHeight="21100" activeTab="5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0" l="1"/>
  <c r="D56" i="10"/>
  <c r="D55" i="10"/>
  <c r="D54" i="10"/>
  <c r="D53" i="10"/>
  <c r="D50" i="10"/>
  <c r="D47" i="10"/>
  <c r="D46" i="10"/>
  <c r="D45" i="10"/>
  <c r="D43" i="10"/>
  <c r="D16" i="10"/>
  <c r="D42" i="10"/>
  <c r="D41" i="10"/>
  <c r="D15" i="10"/>
  <c r="D40" i="10"/>
  <c r="D39" i="10"/>
  <c r="D38" i="10"/>
  <c r="D37" i="10"/>
  <c r="D35" i="10"/>
  <c r="D34" i="10"/>
  <c r="D14" i="10"/>
  <c r="D13" i="10"/>
  <c r="D12" i="10"/>
  <c r="D11" i="10"/>
  <c r="D10" i="10"/>
  <c r="D9" i="10"/>
  <c r="D8" i="10"/>
  <c r="D7" i="10"/>
  <c r="D32" i="10"/>
  <c r="D31" i="10"/>
  <c r="D30" i="10"/>
  <c r="D29" i="10"/>
  <c r="D6" i="10"/>
  <c r="D28" i="10"/>
  <c r="D27" i="10"/>
  <c r="D21" i="10"/>
  <c r="D26" i="10"/>
  <c r="D5" i="10"/>
  <c r="D25" i="10"/>
  <c r="D23" i="10"/>
  <c r="D22" i="10"/>
  <c r="D24" i="10"/>
  <c r="D20" i="10"/>
  <c r="D4" i="10"/>
  <c r="D19" i="10"/>
  <c r="D18" i="10"/>
  <c r="D17" i="10"/>
  <c r="D60" i="10"/>
  <c r="D59" i="10"/>
  <c r="D58" i="10"/>
  <c r="D57" i="10"/>
  <c r="D52" i="10"/>
  <c r="D51" i="10"/>
  <c r="D49" i="10"/>
  <c r="D48" i="10"/>
  <c r="D44" i="10"/>
  <c r="D33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6" i="7"/>
  <c r="N26" i="7"/>
  <c r="M26" i="7"/>
  <c r="L26" i="7"/>
  <c r="K26" i="7"/>
  <c r="J26" i="7"/>
  <c r="I26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7" i="4"/>
  <c r="N27" i="4"/>
  <c r="M27" i="4"/>
  <c r="L27" i="4"/>
  <c r="K27" i="4"/>
  <c r="J27" i="4"/>
  <c r="I27" i="4"/>
  <c r="P33" i="2"/>
  <c r="O33" i="2"/>
  <c r="N33" i="2"/>
  <c r="M33" i="2"/>
  <c r="L33" i="2"/>
  <c r="K33" i="2"/>
  <c r="J33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H6" i="5" l="1"/>
  <c r="I27" i="2"/>
  <c r="I28" i="2" s="1"/>
  <c r="I29" i="2" s="1"/>
  <c r="I30" i="2" s="1"/>
  <c r="I31" i="2" s="1"/>
  <c r="I32" i="2" s="1"/>
  <c r="I26" i="2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4" i="7"/>
  <c r="H5" i="7" s="1"/>
  <c r="H6" i="7" s="1"/>
  <c r="H7" i="7" s="1"/>
  <c r="H9" i="7" l="1"/>
  <c r="H8" i="7"/>
  <c r="H11" i="7" l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10" i="7"/>
</calcChain>
</file>

<file path=xl/sharedStrings.xml><?xml version="1.0" encoding="utf-8"?>
<sst xmlns="http://schemas.openxmlformats.org/spreadsheetml/2006/main" count="456" uniqueCount="344">
  <si>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</si>
  <si>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</si>
  <si>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</si>
  <si>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</si>
  <si>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</si>
  <si>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</si>
  <si>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</si>
  <si>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</si>
  <si>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</si>
  <si>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</si>
  <si>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Chat window, context management, inline suggestions, extensions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</si>
  <si>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</si>
  <si>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</si>
  <si>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</si>
  <si>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</si>
  <si>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</si>
  <si>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</si>
  <si>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Pipeline Debugging</t>
  </si>
  <si>
    <t>Troubleshooting build failures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</si>
  <si>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</si>
  <si>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</si>
  <si>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</si>
  <si>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</si>
  <si>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</si>
  <si>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</si>
  <si>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</si>
  <si>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</si>
  <si>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</si>
  <si>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</si>
  <si>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</si>
  <si>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</si>
  <si>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</si>
  <si>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</si>
  <si>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</si>
  <si>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</si>
  <si>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</si>
  <si>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</si>
  <si>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</si>
  <si>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</si>
  <si>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Hands-On Exercise: Creating Prompt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</si>
  <si>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</si>
  <si>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</si>
  <si>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</si>
  <si>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</si>
  <si>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</si>
  <si>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</si>
  <si>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</si>
  <si>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</si>
  <si>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</si>
  <si>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</si>
  <si>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</si>
  <si>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</si>
  <si>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Creating Instruction Files with Sessions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</si>
  <si>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</si>
  <si>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</si>
  <si>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</si>
  <si>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</si>
  <si>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</si>
  <si>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</si>
  <si>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</si>
  <si>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</si>
  <si>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</si>
  <si>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</si>
  <si>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</si>
  <si>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</si>
  <si>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 Generation Capabilities</t>
  </si>
  <si>
    <t>Prompt Guidance Discussion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</si>
  <si>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</si>
  <si>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</si>
  <si>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</si>
  <si>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</si>
  <si>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</si>
  <si>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</si>
  <si>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</si>
  <si>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</si>
  <si>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</si>
  <si>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</si>
  <si>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</si>
  <si>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</si>
  <si>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</si>
  <si>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</si>
  <si>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</si>
  <si>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</si>
  <si>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</si>
  <si>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</si>
  <si>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</si>
  <si>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</si>
  <si>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</si>
  <si>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</si>
  <si>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</si>
  <si>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</si>
  <si>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</si>
  <si>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</si>
  <si>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</si>
  <si>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</si>
  <si>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</si>
  <si>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</si>
  <si>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</si>
  <si>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</si>
  <si>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</si>
  <si>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</si>
  <si>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</si>
  <si>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Using background sessions to create multiple instruction files concurrently; Session management interface; Reviewing generated instruction files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</si>
  <si>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</si>
  <si>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</si>
  <si>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</si>
  <si>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</si>
  <si>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</si>
  <si>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Chat Organization; Context Preservation; Quick Chat Practice; Chat History Review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</si>
  <si>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</si>
  <si>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</si>
  <si>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</si>
  <si>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</si>
  <si>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</si>
  <si>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</si>
  <si>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</si>
  <si>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</si>
  <si>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</si>
  <si>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</si>
  <si>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</si>
  <si>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</si>
  <si>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</si>
  <si>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</si>
  <si>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</si>
  <si>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</si>
  <si>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Structured prompting for AI-assisted development; Effective prompt examples; Avoiding literal copying of activity descriptions; Phrase prompts for architectural analysis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</si>
  <si>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</si>
  <si>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</si>
  <si>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</si>
  <si>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</si>
  <si>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</si>
  <si>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</si>
  <si>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</si>
  <si>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Scenario: JWT secrets hardcoded in source control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</si>
  <si>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</si>
  <si>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</si>
  <si>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</si>
  <si>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</si>
  <si>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</si>
  <si>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</si>
  <si>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</si>
  <si>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</si>
  <si>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</si>
  <si>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</si>
  <si>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</si>
  <si>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</si>
  <si>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</si>
  <si>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</si>
  <si>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</si>
  <si>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</si>
  <si>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</si>
  <si>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</si>
  <si>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</si>
  <si>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</si>
  <si>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</si>
  <si>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</si>
  <si>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</si>
  <si>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</si>
  <si>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</si>
  <si>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</si>
  <si>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</si>
  <si>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</si>
  <si>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</si>
  <si>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</si>
  <si>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</si>
  <si>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</si>
  <si>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</si>
  <si>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</si>
  <si>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</si>
  <si>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</si>
  <si>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</si>
  <si>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</si>
  <si>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</si>
  <si>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</si>
  <si>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</si>
  <si>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</si>
  <si>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</si>
  <si>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</si>
  <si>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</si>
  <si>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</si>
  <si>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</si>
  <si>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</si>
  <si>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</si>
  <si>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</si>
  <si>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</si>
  <si>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</si>
  <si>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</si>
  <si>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</si>
  <si>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</si>
  <si>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</si>
  <si>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</si>
  <si>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</si>
  <si>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</si>
  <si>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</si>
  <si>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</si>
  <si>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</si>
  <si>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</si>
  <si>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</si>
  <si>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</si>
  <si>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</si>
  <si>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</si>
  <si>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</si>
  <si>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</si>
  <si>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</si>
  <si>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</si>
  <si>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</si>
  <si>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</si>
  <si>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</si>
  <si>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Chat Management &amp; Workflow</t>
  </si>
  <si>
    <t>Exercise: Model Comparisons</t>
  </si>
  <si>
    <t>Welcome and Introductions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</si>
  <si>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</si>
  <si>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</si>
  <si>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</si>
  <si>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</si>
  <si>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</si>
  <si>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</si>
  <si>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Prompt Files.pptx</t>
  </si>
  <si>
    <t>Test Automation &amp; Code Quality.pptx</t>
  </si>
  <si>
    <t>github-copilot-chat-mode-personas.pptx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</si>
  <si>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</si>
  <si>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</si>
  <si>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</si>
  <si>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</si>
  <si>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</si>
  <si>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</si>
  <si>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Addressing Technical Debt.pptx</t>
  </si>
  <si>
    <t>Advanced Context Techniques.pptx</t>
  </si>
  <si>
    <t>AI Practitioner Resources.pptx</t>
  </si>
  <si>
    <t>cqrs-architecture.pptx</t>
  </si>
  <si>
    <t>Custom Agents.pptx</t>
  </si>
  <si>
    <t>Documentation Generation &amp; Code Analysis.pptx</t>
  </si>
  <si>
    <t>Getting Started Checklist.pptx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</si>
  <si>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</si>
  <si>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</si>
  <si>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</si>
  <si>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</si>
  <si>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</si>
  <si>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</si>
  <si>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</si>
  <si>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</si>
  <si>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What Are Vertical Slices</t>
  </si>
  <si>
    <t>_What Are Vertical Slices.pptx</t>
  </si>
  <si>
    <t>vscode-copilot-agents-overview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</si>
  <si>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</si>
  <si>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</si>
  <si>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</si>
  <si>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</si>
  <si>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</si>
  <si>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</si>
  <si>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</si>
  <si>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</si>
  <si>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</si>
  <si>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</si>
  <si>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</si>
  <si>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</si>
  <si>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</si>
  <si>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</si>
  <si>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</si>
  <si>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</si>
  <si>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</si>
  <si>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</si>
  <si>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</si>
  <si>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</si>
  <si>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mcp-servers-vscode-copilot; MCP Servers.pptx</t>
  </si>
  <si>
    <t>_MCP Servers.pptx</t>
  </si>
  <si>
    <t xml:space="preserve">A Managed Junior Developer; Understanding Context &amp; Tokens; Prompt Engineering Best Practices; Model Selection Strategies; </t>
  </si>
  <si>
    <t>Managing GitHub Copilot Effectively</t>
  </si>
  <si>
    <t>Instructions vs Prompts vs Custom Chat Modes</t>
  </si>
  <si>
    <t>_Managing GitHub Copilot Effectively.pptx</t>
  </si>
  <si>
    <t>_Instructions vs Prompts vs Custom Chat Modes.pptx</t>
  </si>
  <si>
    <t>Generating Implementation Prompts &amp; Verification</t>
  </si>
  <si>
    <t>GitHub Copilot for Teams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</si>
  <si>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</si>
  <si>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</si>
  <si>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</si>
  <si>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</si>
  <si>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</si>
  <si>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</si>
  <si>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</si>
  <si>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</si>
  <si>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</si>
  <si>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</si>
  <si>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</si>
  <si>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</si>
  <si>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</si>
  <si>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</si>
  <si>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</si>
  <si>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</si>
  <si>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</si>
  <si>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</si>
  <si>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</si>
  <si>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</si>
  <si>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</si>
  <si>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</si>
  <si>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</si>
  <si>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</si>
  <si>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</si>
  <si>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</si>
  <si>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</si>
  <si>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</si>
  <si>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</si>
  <si>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</si>
  <si>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</si>
  <si>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</si>
  <si>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</si>
  <si>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</si>
  <si>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</si>
  <si>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</si>
  <si>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</si>
  <si>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</si>
  <si>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</si>
  <si>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</si>
  <si>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</si>
  <si>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</si>
  <si>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</si>
  <si>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</si>
  <si>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instruction-file-applyto-patterns; copilot instruction stack.pptx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</si>
  <si>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</si>
  <si>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</si>
  <si>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</si>
  <si>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</si>
  <si>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</si>
  <si>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</si>
  <si>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</si>
  <si>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</si>
  <si>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</si>
  <si>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</si>
  <si>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</si>
  <si>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Safe Brownfield Coding; Essential Safety Measures; Building Safety Nets.pptx</t>
  </si>
  <si>
    <t>_Building Safety Nets.pptx</t>
  </si>
  <si>
    <t>Identifying Technical Debt; Automating the Creation of GitHub Issues; Exercise: Building the Backlog</t>
  </si>
  <si>
    <t>Conformance &amp; Gap Analysis.pptx; Building a Backlog.pptx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</si>
  <si>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</si>
  <si>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</si>
  <si>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</si>
  <si>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</si>
  <si>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The AI Revolution; ai-first-vs-prompt-first.pptx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</si>
  <si>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</si>
  <si>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</si>
  <si>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</si>
  <si>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Instructions vs Prompts vs Custom Chat Modes; copilot-instruction-files-vs-prompt-files-vs-chatmodes.pptx; copilot-instruction-control.pptx; AI-Development-Approaches-Comparison.pptx</t>
  </si>
  <si>
    <t>_AI-Development-Approaches-Comparison.pptx</t>
  </si>
  <si>
    <t xml:space="preserve">AI Practitioner Resources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</si>
</sst>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wrapText="1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5" xfId="0" applyBorder="1" applyAlignment="1">
      <alignment wrapText="1"/>
    </xf>
  </cellXfs>
  <cellStyles count="1">
    <cellStyle name="Normal" xfId="0" builtinId="0"/>
  </cellStyles>
  <dxfs count="124"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3" totalsRowCount="1">
  <autoFilter ref="C2:P32" xr:uid="{A2A7F544-4367-4018-8DC9-81CA31EC2612}"/>
  <tableColumns count="14">
    <tableColumn id="1" xr3:uid="{9D61239E-9B4A-4932-AB0D-EB9D9921B03D}" name="Topic"/>
    <tableColumn id="4" xr3:uid="{CF6246D8-1B6E-46F2-8EF3-564EEFD687CC}" name="Start Time" dataDxfId="88" totalsRowDxfId="17"/>
    <tableColumn id="5" xr3:uid="{8B6AF1D4-2216-4B85-BA7D-212BA502015B}" name="Duration"/>
    <tableColumn id="6" xr3:uid="{FC719AB4-7DA0-4CF0-A12A-95985F5C6D2E}" name="Description" dataDxfId="87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86" totalsRowDxfId="16">
      <calculatedColumnFormula>I2 + (E2/ 1440)</calculatedColumnFormula>
    </tableColumn>
    <tableColumn id="3" xr3:uid="{8F73E11B-57E7-46FD-9BC8-9F7C420BAC38}" name="Copilot" totalsRowFunction="custom" dataDxfId="85" totalsRowDxfId="15">
      <totalsRowFormula>COUNTIF(monday[Copilot],TRUE)</totalsRowFormula>
    </tableColumn>
    <tableColumn id="8" xr3:uid="{00BFAB92-E224-43B6-A531-DC61138A0CA0}" name="Claude" totalsRowFunction="custom" dataDxfId="84" totalsRowDxfId="14">
      <totalsRowFormula>COUNTIF(monday[Claude],TRUE)</totalsRowFormula>
    </tableColumn>
    <tableColumn id="9" xr3:uid="{B5C7E70A-4192-4A1A-BB50-152DBFD69377}" name="Visual Studio" totalsRowFunction="custom" dataDxfId="83" totalsRowDxfId="13">
      <totalsRowFormula>COUNTIF(monday[Visual Studio],TRUE)</totalsRowFormula>
    </tableColumn>
    <tableColumn id="10" xr3:uid="{BA3C10AA-29E4-463F-BAEF-8EB3E8945B13}" name="VS Code" totalsRowFunction="custom" dataDxfId="82" totalsRowDxfId="12">
      <totalsRowFormula>COUNTIF(monday[VS Code],TRUE)</totalsRowFormula>
    </tableColumn>
    <tableColumn id="11" xr3:uid="{F8980FA3-83DA-47C4-AFB7-6CF6A869D269}" name="GitHub" totalsRowFunction="custom" dataDxfId="81" totalsRowDxfId="11">
      <totalsRowFormula>COUNTIF(monday[GitHub],TRUE)</totalsRowFormula>
    </tableColumn>
    <tableColumn id="12" xr3:uid="{D8820A44-D6A6-42E2-B181-305F5EE9EEC3}" name="AzDO" totalsRowFunction="custom" dataDxfId="80" totalsRowDxfId="10">
      <totalsRowFormula>COUNTIF(monday[AzDO],TRUE)</totalsRowFormula>
    </tableColumn>
    <tableColumn id="13" xr3:uid="{14EF33C0-8AAA-4364-B51A-665DB2BE5F06}" name="Agnostic" totalsRowFunction="custom" dataDxfId="79" totalsRowDxfId="9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7" totalsRowCount="1">
  <autoFilter ref="B2:O26" xr:uid="{A2A7F544-4367-4018-8DC9-81CA31EC2612}"/>
  <tableColumns count="14">
    <tableColumn id="1" xr3:uid="{A79E8443-E3FC-4A2C-83B2-0E581E8FF9B8}" name="Topic"/>
    <tableColumn id="4" xr3:uid="{74997477-BD6E-4263-B07D-B967AADDCC4B}" name="Start Time" dataDxfId="58" totalsRowDxfId="57"/>
    <tableColumn id="5" xr3:uid="{C37F49DC-8E37-4F56-B136-B64A492DADC4}" name="Duration"/>
    <tableColumn id="6" xr3:uid="{DF401DF3-0654-4023-93D4-9F6D3305611B}" name="Description" dataDxfId="56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55" totalsRowDxfId="54">
      <calculatedColumnFormula>H2 + (D2/ 1440)</calculatedColumnFormula>
    </tableColumn>
    <tableColumn id="3" xr3:uid="{B16B187E-86E2-4252-8947-27912248E347}" name="Copilot" totalsRowFunction="custom" dataDxfId="53" totalsRowDxfId="52">
      <totalsRowFormula>COUNTIF(tuesday[Copilot],TRUE)</totalsRowFormula>
    </tableColumn>
    <tableColumn id="8" xr3:uid="{328999B8-FD8B-4839-8311-45FC5EB6D50E}" name="Claude" totalsRowFunction="custom" dataDxfId="51" totalsRowDxfId="50">
      <totalsRowFormula>COUNTIF(tuesday[Claude],TRUE)</totalsRowFormula>
    </tableColumn>
    <tableColumn id="9" xr3:uid="{34EA6EBA-9872-4064-B9A2-2F4F1923665B}" name="Visual Studio" totalsRowFunction="custom" dataDxfId="49" totalsRowDxfId="48">
      <totalsRowFormula>COUNTIF(tuesday[Visual Studio],TRUE)</totalsRowFormula>
    </tableColumn>
    <tableColumn id="10" xr3:uid="{A69DFCC9-26FD-4F9A-AE74-129C7FB342B4}" name="VS Code" totalsRowFunction="custom" dataDxfId="47" totalsRowDxfId="46">
      <totalsRowFormula>COUNTIF(tuesday[VS Code],TRUE)</totalsRowFormula>
    </tableColumn>
    <tableColumn id="11" xr3:uid="{A0474679-DF85-45F0-9952-0B19F3B91232}" name="GitHub" totalsRowFunction="custom" dataDxfId="45" totalsRowDxfId="44">
      <totalsRowFormula>COUNTIF(tuesday[GitHub],TRUE)</totalsRowFormula>
    </tableColumn>
    <tableColumn id="12" xr3:uid="{7CE7CEA0-1D58-4456-BEE3-FACC7BEBA621}" name="AzDO" totalsRowFunction="custom" dataDxfId="43" totalsRowDxfId="42">
      <totalsRowFormula>COUNTIF(tuesday[AzDO],TRUE)</totalsRowFormula>
    </tableColumn>
    <tableColumn id="13" xr3:uid="{1C626DD1-4625-488A-B7AC-16AA057A1A0F}" name="Agnostic" totalsRowFunction="custom" dataDxfId="41" totalsRowDxfId="40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123" totalsRowDxfId="8"/>
    <tableColumn id="5" xr3:uid="{78218F89-BD58-4DD6-9B0D-DCE1B0CA5E74}" name="Duration"/>
    <tableColumn id="6" xr3:uid="{9BF78A26-DFD1-4FA6-8A13-90E044BF9CF6}" name="Description" dataDxfId="30"/>
    <tableColumn id="14" xr3:uid="{2A17624B-AB55-4881-A9E9-C5F0EB76662A}" name="Deck" dataDxfId="29"/>
    <tableColumn id="2" xr3:uid="{06859EAF-BB57-49A2-83C0-AA6CD01CE733}" name="Slides"/>
    <tableColumn id="7" xr3:uid="{5CB8B7F0-73B0-4AB6-8CAD-73AAC7120336}" name="10:00:00 AM" dataDxfId="122" totalsRowDxfId="7">
      <calculatedColumnFormula>H2 + (D2/ 1440)</calculatedColumnFormula>
    </tableColumn>
    <tableColumn id="3" xr3:uid="{52C57E48-213E-4B1B-B6CB-F6F6B19597C6}" name="Copilot" totalsRowFunction="custom" dataDxfId="121" totalsRowDxfId="6">
      <totalsRowFormula>COUNTIF(wednesday[Copilot],TRUE)</totalsRowFormula>
    </tableColumn>
    <tableColumn id="8" xr3:uid="{0D5BA76C-D529-453A-9FAA-BF02D249B691}" name="Claude" totalsRowFunction="custom" dataDxfId="120" totalsRowDxfId="5">
      <totalsRowFormula>COUNTIF(wednesday[Claude],TRUE)</totalsRowFormula>
    </tableColumn>
    <tableColumn id="9" xr3:uid="{153E0A8B-602A-4078-A22C-AA416D599897}" name="Visual Studio" totalsRowFunction="custom" dataDxfId="119" totalsRowDxfId="4">
      <totalsRowFormula>COUNTIF(wednesday[Visual Studio],TRUE)</totalsRowFormula>
    </tableColumn>
    <tableColumn id="10" xr3:uid="{03C0F805-9CE7-4D2A-998E-1F7DD639C9BE}" name="VS Code" totalsRowFunction="custom" dataDxfId="118" totalsRowDxfId="3">
      <totalsRowFormula>COUNTIF(wednesday[VS Code],TRUE)</totalsRowFormula>
    </tableColumn>
    <tableColumn id="11" xr3:uid="{7C08E3F4-0D07-4067-8415-25B5EA773AA1}" name="GitHub" totalsRowFunction="custom" dataDxfId="117" totalsRowDxfId="2">
      <totalsRowFormula>COUNTIF(wednesday[GitHub],TRUE)</totalsRowFormula>
    </tableColumn>
    <tableColumn id="12" xr3:uid="{47D5B1A8-5588-43F5-8363-ACE644E9CB39}" name="AzDO" totalsRowFunction="custom" dataDxfId="116" totalsRowDxfId="1">
      <totalsRowFormula>COUNTIF(wednesday[AzDO],TRUE)</totalsRowFormula>
    </tableColumn>
    <tableColumn id="13" xr3:uid="{DB68B21D-4B3C-4D28-AA56-E23ED49750CA}" name="Agnostic" totalsRowFunction="custom" dataDxfId="115" totalsRowDxfId="0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77" totalsRowDxfId="26"/>
    <tableColumn id="5" xr3:uid="{F640E5CE-B0CE-4586-AB64-2F877DC1D9FB}" name="Duration"/>
    <tableColumn id="6" xr3:uid="{2594D38F-32AB-4663-AE35-3BC8F9A7567A}" name="Description" dataDxfId="28"/>
    <tableColumn id="14" xr3:uid="{B8DD6DEA-7ABC-4794-9C00-21703D00F0B9}" name="Deck" dataDxfId="27"/>
    <tableColumn id="2" xr3:uid="{76D09C9B-F732-4E1C-945B-A497FD16EFDB}" name="Slides"/>
    <tableColumn id="7" xr3:uid="{A26CFC55-26C1-4F30-803D-BBF5981DFCA5}" name="10:00:00 AM" dataDxfId="76" totalsRowDxfId="25">
      <calculatedColumnFormula>H2 + (D2/ 1440)</calculatedColumnFormula>
    </tableColumn>
    <tableColumn id="3" xr3:uid="{040567B8-43A2-489E-A9CC-73859959BD5C}" name="Copilot" totalsRowFunction="custom" dataDxfId="75" totalsRowDxfId="24">
      <totalsRowFormula>COUNTIF(thursday[Copilot],TRUE)</totalsRowFormula>
    </tableColumn>
    <tableColumn id="8" xr3:uid="{8123314B-943D-472F-983B-8523B69999C0}" name="Claude" totalsRowFunction="custom" dataDxfId="74" totalsRowDxfId="23">
      <totalsRowFormula>COUNTIF(thursday[Claude],TRUE)</totalsRowFormula>
    </tableColumn>
    <tableColumn id="9" xr3:uid="{2498F0CF-6AFF-47E1-979B-DE081B427120}" name="Visual Studio" totalsRowFunction="custom" dataDxfId="73" totalsRowDxfId="22">
      <totalsRowFormula>COUNTIF(thursday[Visual Studio],TRUE)</totalsRowFormula>
    </tableColumn>
    <tableColumn id="10" xr3:uid="{913F6E6D-CD6B-4637-B962-BB89DDCA6740}" name="VS Code" totalsRowFunction="custom" dataDxfId="72" totalsRowDxfId="21">
      <totalsRowFormula>COUNTIF(thursday[VS Code],TRUE)</totalsRowFormula>
    </tableColumn>
    <tableColumn id="11" xr3:uid="{BC331ED4-BE71-4300-9771-6BE4E6F8E51C}" name="GitHub" totalsRowFunction="custom" dataDxfId="71" totalsRowDxfId="20">
      <totalsRowFormula>COUNTIF(thursday[GitHub],TRUE)</totalsRowFormula>
    </tableColumn>
    <tableColumn id="12" xr3:uid="{D1E8199D-E549-4A4D-AE32-B59854B704A5}" name="AzDO" totalsRowFunction="custom" dataDxfId="70" totalsRowDxfId="19">
      <totalsRowFormula>COUNTIF(thursday[AzDO],TRUE)</totalsRowFormula>
    </tableColumn>
    <tableColumn id="13" xr3:uid="{761C22D5-EF2F-4F87-9F85-B289C4EAFA34}" name="Agnostic" totalsRowFunction="custom" dataDxfId="69" totalsRowDxfId="18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6" totalsRowCount="1">
  <autoFilter ref="B2:O25" xr:uid="{A2A7F544-4367-4018-8DC9-81CA31EC2612}"/>
  <tableColumns count="14">
    <tableColumn id="1" xr3:uid="{26906033-DBB1-4850-8A65-B0AABB8EB5B7}" name="Topic"/>
    <tableColumn id="4" xr3:uid="{BDBF7E0D-1B9B-4EA6-8393-3A73A6DB40AA}" name="Start Time" dataDxfId="68" totalsRowDxfId="39"/>
    <tableColumn id="5" xr3:uid="{B474477F-00C6-4EE7-A8CC-63E5347553DE}" name="Duration"/>
    <tableColumn id="6" xr3:uid="{0AB30286-B74F-4E70-B4F1-CBD65236A925}" name="Description" dataDxfId="67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66" totalsRowDxfId="38">
      <calculatedColumnFormula>H2 + (D2/ 1440)</calculatedColumnFormula>
    </tableColumn>
    <tableColumn id="3" xr3:uid="{E3F3161D-9131-432E-959B-E6F0A1281AC5}" name="Copilot" totalsRowFunction="custom" dataDxfId="65" totalsRowDxfId="37">
      <totalsRowFormula>COUNTIF(friday[Copilot],TRUE)</totalsRowFormula>
    </tableColumn>
    <tableColumn id="8" xr3:uid="{4141EF85-371E-4375-8C00-1C37E83D6E69}" name="Claude" totalsRowFunction="custom" dataDxfId="64" totalsRowDxfId="36">
      <totalsRowFormula>COUNTIF(friday[Claude],TRUE)</totalsRowFormula>
    </tableColumn>
    <tableColumn id="9" xr3:uid="{9E14D6DD-E032-4528-9C0C-58B736CC7A80}" name="Visual Studio" totalsRowFunction="custom" dataDxfId="63" totalsRowDxfId="35">
      <totalsRowFormula>COUNTIF(friday[Visual Studio],TRUE)</totalsRowFormula>
    </tableColumn>
    <tableColumn id="10" xr3:uid="{8F46D2CC-5CBC-48F4-9A4B-3CC4AEAEB311}" name="VS Code" totalsRowFunction="custom" dataDxfId="62" totalsRowDxfId="34">
      <totalsRowFormula>COUNTIF(friday[VS Code],TRUE)</totalsRowFormula>
    </tableColumn>
    <tableColumn id="11" xr3:uid="{D81D028C-428B-4074-8804-73407B951898}" name="GitHub" totalsRowFunction="custom" dataDxfId="61" totalsRowDxfId="33">
      <totalsRowFormula>COUNTIF(friday[GitHub],TRUE)</totalsRowFormula>
    </tableColumn>
    <tableColumn id="12" xr3:uid="{4FF24485-BCF2-4202-B4EF-7AD6E0292975}" name="AzDO" totalsRowFunction="custom" dataDxfId="60" totalsRowDxfId="32">
      <totalsRowFormula>COUNTIF(friday[AzDO],TRUE)</totalsRowFormula>
    </tableColumn>
    <tableColumn id="13" xr3:uid="{EF5A8DFC-6137-42BC-B9EE-012CF110EF5A}" name="Agnostic" totalsRowFunction="custom" dataDxfId="59" totalsRowDxfId="31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114" dataDxfId="112" headerRowBorderDxfId="113" tableBorderDxfId="111" totalsRowBorderDxfId="110">
  <autoFilter ref="B3:I8" xr:uid="{7BE215E2-9049-4E20-81CC-83A554BF1101}"/>
  <tableColumns count="8">
    <tableColumn id="8" xr3:uid="{C90FAB4F-EDD1-47CD-AEF9-BF085C892241}" name="DOW" dataDxfId="109" totalsRowDxfId="108"/>
    <tableColumn id="1" xr3:uid="{0B80151C-6332-4045-885D-4147B93941CE}" name="Copilot" totalsRowFunction="custom" dataDxfId="107" totalsRowDxfId="106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105" totalsRowDxfId="104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103" totalsRowDxfId="102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101" totalsRowDxfId="100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99" totalsRowDxfId="98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97" totalsRowDxfId="96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95" totalsRowDxfId="94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93">
  <autoFilter ref="C16:E23" xr:uid="{912E96BC-0A44-4EB1-8D25-1D93E5F52B1A}"/>
  <tableColumns count="3">
    <tableColumn id="1" xr3:uid="{591572D6-A8EA-493D-8473-133E4763BB61}" name="AIA" dataDxfId="92"/>
    <tableColumn id="2" xr3:uid="{34DA7748-7B6D-4305-8183-2EF0146134B7}" name="IDE" dataDxfId="91"/>
    <tableColumn id="3" xr3:uid="{F11CA94F-DD1D-4587-93E7-6E32450B9602}" name="SCC/WI/PR" dataDxfId="9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89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41" workbookViewId="0">
      <selection activeCell="C59" sqref="C59"/>
    </sheetView>
  </sheetViews>
  <sheetFormatPr defaultRowHeight="14.5" x14ac:dyDescent="0.35"/>
  <cols>
    <col min="3" max="3" width="64.54296875" bestFit="1" customWidth="1"/>
    <col min="4" max="4" width="61.26953125" bestFit="1" customWidth="1"/>
    <col min="5" max="5" width="44.81640625" customWidth="1"/>
  </cols>
  <sheetData>
    <row r="3" spans="3:5" x14ac:dyDescent="0.35">
      <c r="C3" t="s">
        <v>215</v>
      </c>
      <c r="D3" t="s">
        <v>187</v>
      </c>
      <c r="E3" t="s">
        <v>199</v>
      </c>
    </row>
    <row r="4" spans="3:5" ht="43.5" x14ac:dyDescent="0.35">
      <c r="C4" t="s">
        <v>326</v>
      </c>
      <c r="D4" t="str">
        <f>LOWER(Table11[[#This Row],[Name]])</f>
        <v>^chat-mode.pptx</v>
      </c>
      <c r="E4" s="2" t="s">
        <v>325</v>
      </c>
    </row>
    <row r="5" spans="3:5" ht="72.5" x14ac:dyDescent="0.35">
      <c r="C5" t="s">
        <v>308</v>
      </c>
      <c r="D5" t="str">
        <f>LOWER(Table11[[#This Row],[Name]])</f>
        <v>^creating robust testing frameworks.pptx</v>
      </c>
      <c r="E5" s="2" t="s">
        <v>307</v>
      </c>
    </row>
    <row r="6" spans="3:5" x14ac:dyDescent="0.35">
      <c r="C6" t="s">
        <v>299</v>
      </c>
      <c r="D6" t="str">
        <f>LOWER(Table11[[#This Row],[Name]])</f>
        <v>^fundementals-agenda.pptx</v>
      </c>
      <c r="E6" s="2"/>
    </row>
    <row r="7" spans="3:5" x14ac:dyDescent="0.35">
      <c r="C7" t="s">
        <v>289</v>
      </c>
      <c r="D7" t="str">
        <f>LOWER(Table11[[#This Row],[Name]])</f>
        <v>^githubcopilottrainingday4afternoonsessioncodegroup_teleflex.marp.pptx</v>
      </c>
      <c r="E7" s="2"/>
    </row>
    <row r="8" spans="3:5" x14ac:dyDescent="0.35">
      <c r="C8" t="s">
        <v>288</v>
      </c>
      <c r="D8" t="str">
        <f>LOWER(Table11[[#This Row],[Name]])</f>
        <v>^githubcopilottrainingday4morningsessioncodegroup_teleflex.marp.pptx</v>
      </c>
      <c r="E8" s="2"/>
    </row>
    <row r="9" spans="3:5" x14ac:dyDescent="0.35">
      <c r="C9" t="s">
        <v>287</v>
      </c>
      <c r="D9" t="str">
        <f>LOWER(Table11[[#This Row],[Name]])</f>
        <v>^githubcopilottrainingday5afternoonsessionscodegroup_teleflex.marp.pptx</v>
      </c>
      <c r="E9" s="2"/>
    </row>
    <row r="10" spans="3:5" x14ac:dyDescent="0.35">
      <c r="C10" t="s">
        <v>286</v>
      </c>
      <c r="D10" t="str">
        <f>LOWER(Table11[[#This Row],[Name]])</f>
        <v>^githubcopilottrainingday5morningsessioncodegroup_teleflex.marp.pptx</v>
      </c>
      <c r="E10" s="2"/>
    </row>
    <row r="11" spans="3:5" x14ac:dyDescent="0.35">
      <c r="C11" t="s">
        <v>285</v>
      </c>
      <c r="D11" t="str">
        <f>LOWER(Table11[[#This Row],[Name]])</f>
        <v>^github-worktrees-guide.pptx</v>
      </c>
      <c r="E11" s="2"/>
    </row>
    <row r="12" spans="3:5" x14ac:dyDescent="0.35">
      <c r="C12" t="s">
        <v>284</v>
      </c>
      <c r="D12" t="str">
        <f>LOWER(Table11[[#This Row],[Name]])</f>
        <v>^github-worktrees-guide-fixed.pptx</v>
      </c>
      <c r="E12" s="2"/>
    </row>
    <row r="13" spans="3:5" x14ac:dyDescent="0.35">
      <c r="C13" t="s">
        <v>283</v>
      </c>
      <c r="D13" t="str">
        <f>LOWER(Table11[[#This Row],[Name]])</f>
        <v>^github-worktrees-guide-test.pptx</v>
      </c>
      <c r="E13" s="2"/>
    </row>
    <row r="14" spans="3:5" x14ac:dyDescent="0.35">
      <c r="C14" t="s">
        <v>282</v>
      </c>
      <c r="D14" t="str">
        <f>LOWER(Table11[[#This Row],[Name]])</f>
        <v>^github-worktrees-guide-verbose.pptx</v>
      </c>
      <c r="E14" s="2"/>
    </row>
    <row r="15" spans="3:5" x14ac:dyDescent="0.35">
      <c r="C15" t="s">
        <v>260</v>
      </c>
      <c r="D15" t="str">
        <f>LOWER(Table11[[#This Row],[Name]])</f>
        <v>^mob.sh.pptx</v>
      </c>
      <c r="E15" s="2"/>
    </row>
    <row r="16" spans="3:5" ht="43.5" x14ac:dyDescent="0.35">
      <c r="C16" t="s">
        <v>254</v>
      </c>
      <c r="D16" t="str">
        <f>LOWER(Table11[[#This Row],[Name]])</f>
        <v>^overview of llms.pptx</v>
      </c>
      <c r="E16" s="2" t="s">
        <v>253</v>
      </c>
    </row>
    <row r="17" spans="3:5" ht="43.5" x14ac:dyDescent="0.35">
      <c r="C17" t="s">
        <v>338</v>
      </c>
      <c r="D17" t="str">
        <f>LOWER(Table11[[#This Row],[Name]])</f>
        <v>_ai-first-vs-prompt-first.pptx</v>
      </c>
      <c r="E17" s="2" t="s">
        <v>335</v>
      </c>
    </row>
    <row r="18" spans="3:5" ht="29" x14ac:dyDescent="0.35">
      <c r="C18" t="s">
        <v>334</v>
      </c>
      <c r="D18" t="str">
        <f>LOWER(Table11[[#This Row],[Name]])</f>
        <v>_building a backlog.pptx</v>
      </c>
      <c r="E18" s="2" t="s">
        <v>331</v>
      </c>
    </row>
    <row r="19" spans="3:5" ht="43.5" x14ac:dyDescent="0.35">
      <c r="C19" t="s">
        <v>330</v>
      </c>
      <c r="D19" t="str">
        <f>LOWER(Table11[[#This Row],[Name]])</f>
        <v>_building safety nets.pptx</v>
      </c>
      <c r="E19" s="2" t="s">
        <v>327</v>
      </c>
    </row>
    <row r="20" spans="3:5" ht="87" x14ac:dyDescent="0.35">
      <c r="C20" t="s">
        <v>324</v>
      </c>
      <c r="D20" t="str">
        <f>LOWER(Table11[[#This Row],[Name]])</f>
        <v>_conformance &amp; gap analysis.pptx</v>
      </c>
      <c r="E20" s="2" t="s">
        <v>323</v>
      </c>
    </row>
    <row r="21" spans="3:5" ht="43.5" x14ac:dyDescent="0.35">
      <c r="C21" t="s">
        <v>321</v>
      </c>
      <c r="D21" t="str">
        <f>LOWER(Table11[[#This Row],[Name]])</f>
        <v>_copilot instruction stack.pptx</v>
      </c>
      <c r="E21" s="2" t="s">
        <v>315</v>
      </c>
    </row>
    <row r="22" spans="3:5" ht="87" x14ac:dyDescent="0.35">
      <c r="C22" t="s">
        <v>322</v>
      </c>
      <c r="D22" t="str">
        <f>LOWER(Table11[[#This Row],[Name]])</f>
        <v>_copilot-instruction-control.pptx</v>
      </c>
      <c r="E22" s="2" t="s">
        <v>314</v>
      </c>
    </row>
    <row r="23" spans="3:5" ht="29" x14ac:dyDescent="0.35">
      <c r="C23" t="s">
        <v>313</v>
      </c>
      <c r="D23" t="str">
        <f>LOWER(Table11[[#This Row],[Name]])</f>
        <v>_copilot-instruction-files-vs-prompt-files-vs-chatmodes.pptx</v>
      </c>
      <c r="E23" s="2" t="s">
        <v>312</v>
      </c>
    </row>
    <row r="24" spans="3:5" ht="29" x14ac:dyDescent="0.35">
      <c r="C24" t="s">
        <v>320</v>
      </c>
      <c r="D24" t="str">
        <f>LOWER(Table11[[#This Row],[Name]])</f>
        <v>_core instruction files.pptx</v>
      </c>
      <c r="E24" s="2" t="s">
        <v>318</v>
      </c>
    </row>
    <row r="25" spans="3:5" ht="101.5" x14ac:dyDescent="0.35">
      <c r="C25" t="s">
        <v>311</v>
      </c>
      <c r="D25" t="str">
        <f>LOWER(Table11[[#This Row],[Name]])</f>
        <v>_cqrs-architecture.pptx</v>
      </c>
      <c r="E25" s="2" t="s">
        <v>309</v>
      </c>
    </row>
    <row r="26" spans="3:5" ht="101.5" x14ac:dyDescent="0.35">
      <c r="C26" t="s">
        <v>306</v>
      </c>
      <c r="D26" t="str">
        <f>LOWER(Table11[[#This Row],[Name]])</f>
        <v>_custom agents.pptx</v>
      </c>
      <c r="E26" s="2" t="s">
        <v>304</v>
      </c>
    </row>
    <row r="27" spans="3:5" ht="130.5" x14ac:dyDescent="0.35">
      <c r="C27" t="s">
        <v>303</v>
      </c>
      <c r="D27" t="str">
        <f>LOWER(Table11[[#This Row],[Name]])</f>
        <v>_documentation generation &amp; code analysis.pptx</v>
      </c>
      <c r="E27" s="2" t="s">
        <v>302</v>
      </c>
    </row>
    <row r="28" spans="3:5" ht="58" x14ac:dyDescent="0.35">
      <c r="C28" t="s">
        <v>301</v>
      </c>
      <c r="D28" t="str">
        <f>LOWER(Table11[[#This Row],[Name]])</f>
        <v>_essential safety measures.pptx</v>
      </c>
      <c r="E28" s="2" t="s">
        <v>300</v>
      </c>
    </row>
    <row r="29" spans="3:5" x14ac:dyDescent="0.35">
      <c r="C29" t="s">
        <v>298</v>
      </c>
      <c r="D29" t="str">
        <f>LOWER(Table11[[#This Row],[Name]])</f>
        <v>_generating implementation prompts &amp; verification.pptx</v>
      </c>
      <c r="E29" s="2" t="s">
        <v>297</v>
      </c>
    </row>
    <row r="30" spans="3:5" x14ac:dyDescent="0.35">
      <c r="C30" t="s">
        <v>296</v>
      </c>
      <c r="D30" t="str">
        <f>LOWER(Table11[[#This Row],[Name]])</f>
        <v>_getting started checklist.pptx</v>
      </c>
      <c r="E30" s="2" t="s">
        <v>295</v>
      </c>
    </row>
    <row r="31" spans="3:5" ht="72.5" x14ac:dyDescent="0.35">
      <c r="C31" t="s">
        <v>294</v>
      </c>
      <c r="D31" t="str">
        <f>LOWER(Table11[[#This Row],[Name]])</f>
        <v>_github copilot for teams.pptx</v>
      </c>
      <c r="E31" s="2" t="s">
        <v>293</v>
      </c>
    </row>
    <row r="32" spans="3:5" ht="72.5" x14ac:dyDescent="0.35">
      <c r="C32" t="s">
        <v>292</v>
      </c>
      <c r="D32" t="str">
        <f>LOWER(Table11[[#This Row],[Name]])</f>
        <v>_github-copilot-chat-mode-personas.pptx</v>
      </c>
      <c r="E32" s="2" t="s">
        <v>290</v>
      </c>
    </row>
    <row r="33" spans="3:5" x14ac:dyDescent="0.35">
      <c r="C33" t="s">
        <v>216</v>
      </c>
      <c r="D33" t="str">
        <f>LOWER(Table11[[#This Row],[Name]])</f>
        <v>_hands-on with github copilot (vs code).pptx</v>
      </c>
      <c r="E33" s="2"/>
    </row>
    <row r="34" spans="3:5" ht="130.5" x14ac:dyDescent="0.35">
      <c r="C34" t="s">
        <v>281</v>
      </c>
      <c r="D34" t="str">
        <f>LOWER(Table11[[#This Row],[Name]])</f>
        <v>_implementing-vertical-slices.pptx</v>
      </c>
      <c r="E34" s="2" t="s">
        <v>280</v>
      </c>
    </row>
    <row r="35" spans="3:5" ht="43.5" x14ac:dyDescent="0.35">
      <c r="C35" t="s">
        <v>279</v>
      </c>
      <c r="D35" t="str">
        <f>LOWER(Table11[[#This Row],[Name]])</f>
        <v>_instruction files.pptx</v>
      </c>
      <c r="E35" s="2" t="s">
        <v>278</v>
      </c>
    </row>
    <row r="36" spans="3:5" ht="87" x14ac:dyDescent="0.35">
      <c r="C36" t="s">
        <v>277</v>
      </c>
      <c r="D36" t="str">
        <f>LOWER(Table11[[#This Row],[Name]])</f>
        <v>_instruction-file-applyto-patterns.pptx</v>
      </c>
      <c r="E36" s="2" t="s">
        <v>275</v>
      </c>
    </row>
    <row r="37" spans="3:5" x14ac:dyDescent="0.35">
      <c r="C37" t="s">
        <v>270</v>
      </c>
      <c r="D37" t="str">
        <f>LOWER(Table11[[#This Row],[Name]])</f>
        <v>_instructions vs prompts vs custom chat modes.pptx</v>
      </c>
      <c r="E37" t="s">
        <v>268</v>
      </c>
    </row>
    <row r="38" spans="3:5" ht="43.5" x14ac:dyDescent="0.35">
      <c r="C38" t="s">
        <v>269</v>
      </c>
      <c r="D38" t="str">
        <f>LOWER(Table11[[#This Row],[Name]])</f>
        <v>_managing github copilot effectively.pptx</v>
      </c>
      <c r="E38" s="2" t="s">
        <v>266</v>
      </c>
    </row>
    <row r="39" spans="3:5" ht="72.5" x14ac:dyDescent="0.35">
      <c r="C39" t="s">
        <v>265</v>
      </c>
      <c r="D39" t="str">
        <f>LOWER(Table11[[#This Row],[Name]])</f>
        <v>_mcp servers.pptx</v>
      </c>
      <c r="E39" s="2" t="s">
        <v>263</v>
      </c>
    </row>
    <row r="40" spans="3:5" ht="72.5" x14ac:dyDescent="0.35">
      <c r="C40" t="s">
        <v>262</v>
      </c>
      <c r="D40" t="str">
        <f>LOWER(Table11[[#This Row],[Name]])</f>
        <v>_mcp-servers-vscode-copilot.pptx</v>
      </c>
      <c r="E40" s="2" t="s">
        <v>261</v>
      </c>
    </row>
    <row r="41" spans="3:5" ht="43.5" x14ac:dyDescent="0.35">
      <c r="C41" t="s">
        <v>259</v>
      </c>
      <c r="D41" t="str">
        <f>LOWER(Table11[[#This Row],[Name]])</f>
        <v>_model selection &amp; comparison.pptx</v>
      </c>
      <c r="E41" s="2" t="s">
        <v>258</v>
      </c>
    </row>
    <row r="42" spans="3:5" ht="101.5" x14ac:dyDescent="0.35">
      <c r="C42" t="s">
        <v>257</v>
      </c>
      <c r="D42" t="str">
        <f>LOWER(Table11[[#This Row],[Name]])</f>
        <v>_multi‑model implementation comparison.pptx</v>
      </c>
      <c r="E42" s="2" t="s">
        <v>255</v>
      </c>
    </row>
    <row r="43" spans="3:5" ht="29" x14ac:dyDescent="0.35">
      <c r="C43" t="s">
        <v>252</v>
      </c>
      <c r="D43" t="str">
        <f>LOWER(Table11[[#This Row],[Name]])</f>
        <v>_prompt files.pptx</v>
      </c>
      <c r="E43" s="2" t="s">
        <v>251</v>
      </c>
    </row>
    <row r="44" spans="3:5" x14ac:dyDescent="0.35">
      <c r="C44" t="s">
        <v>220</v>
      </c>
      <c r="D44" t="str">
        <f>LOWER(Table11[[#This Row],[Name]])</f>
        <v>_repository and tool setup.pptx</v>
      </c>
      <c r="E44" s="2"/>
    </row>
    <row r="45" spans="3:5" ht="43.5" x14ac:dyDescent="0.35">
      <c r="C45" t="s">
        <v>250</v>
      </c>
      <c r="D45" t="str">
        <f>LOWER(Table11[[#This Row],[Name]])</f>
        <v>_safe brownfield coding.pptx</v>
      </c>
      <c r="E45" s="2" t="s">
        <v>249</v>
      </c>
    </row>
    <row r="46" spans="3:5" ht="72.5" x14ac:dyDescent="0.35">
      <c r="C46" t="s">
        <v>248</v>
      </c>
      <c r="D46" t="str">
        <f>LOWER(Table11[[#This Row],[Name]])</f>
        <v>_starting with project requirements.pptx</v>
      </c>
      <c r="E46" s="2" t="s">
        <v>246</v>
      </c>
    </row>
    <row r="47" spans="3:5" x14ac:dyDescent="0.35">
      <c r="C47" t="s">
        <v>245</v>
      </c>
      <c r="D47" t="str">
        <f>LOWER(Table11[[#This Row],[Name]])</f>
        <v>_test automation &amp; code quality.pptx</v>
      </c>
      <c r="E47" s="2"/>
    </row>
    <row r="48" spans="3:5" x14ac:dyDescent="0.35">
      <c r="C48" t="s">
        <v>221</v>
      </c>
      <c r="D48" t="str">
        <f>LOWER(Table11[[#This Row],[Name]])</f>
        <v>_the ai revolution.pptx</v>
      </c>
      <c r="E48" s="2"/>
    </row>
    <row r="49" spans="3:5" x14ac:dyDescent="0.35">
      <c r="C49" t="s">
        <v>222</v>
      </c>
      <c r="D49" t="str">
        <f>LOWER(Table11[[#This Row],[Name]])</f>
        <v>_vibe coding.pptx</v>
      </c>
      <c r="E49" s="2"/>
    </row>
    <row r="50" spans="3:5" x14ac:dyDescent="0.35">
      <c r="C50" t="s">
        <v>244</v>
      </c>
      <c r="D50" t="str">
        <f>LOWER(Table11[[#This Row],[Name]])</f>
        <v>_vscode-copilot-agents-overview.pptx</v>
      </c>
      <c r="E50" s="2"/>
    </row>
    <row r="51" spans="3:5" x14ac:dyDescent="0.35">
      <c r="C51" t="s">
        <v>223</v>
      </c>
      <c r="D51" t="str">
        <f>LOWER(Table11[[#This Row],[Name]])</f>
        <v>_welcome and introductions.pptx</v>
      </c>
      <c r="E51" s="2"/>
    </row>
    <row r="52" spans="3:5" x14ac:dyDescent="0.35">
      <c r="C52" t="s">
        <v>224</v>
      </c>
      <c r="D52" t="str">
        <f>LOWER(Table11[[#This Row],[Name]])</f>
        <v>_welcome-and-introductions.pptx</v>
      </c>
      <c r="E52" s="2"/>
    </row>
    <row r="53" spans="3:5" x14ac:dyDescent="0.35">
      <c r="C53" t="s">
        <v>242</v>
      </c>
      <c r="D53" t="str">
        <f>LOWER(Table11[[#This Row],[Name]])</f>
        <v>_what are vertical slices.pptx</v>
      </c>
      <c r="E53" s="2"/>
    </row>
    <row r="54" spans="3:5" x14ac:dyDescent="0.35">
      <c r="C54" t="s">
        <v>240</v>
      </c>
      <c r="D54" t="str">
        <f>LOWER(Table11[[#This Row],[Name]])</f>
        <v>_what defines brownfield code.pptx</v>
      </c>
      <c r="E54" s="2"/>
    </row>
    <row r="55" spans="3:5" x14ac:dyDescent="0.35">
      <c r="C55" t="s">
        <v>237</v>
      </c>
      <c r="D55" t="str">
        <f>LOWER(Table11[[#This Row],[Name]])</f>
        <v>_whats-the-big-deal.pptx</v>
      </c>
      <c r="E55" s="2"/>
    </row>
    <row r="56" spans="3:5" x14ac:dyDescent="0.35">
      <c r="C56" t="s">
        <v>225</v>
      </c>
      <c r="D56" t="str">
        <f>LOWER(Table11[[#This Row],[Name]])</f>
        <v>adding ai guardrails.pptx</v>
      </c>
      <c r="E56" s="2"/>
    </row>
    <row r="57" spans="3:5" x14ac:dyDescent="0.35">
      <c r="C57" t="s">
        <v>226</v>
      </c>
      <c r="D57" t="str">
        <f>LOWER(Table11[[#This Row],[Name]])</f>
        <v>addressing technical debt.pptx</v>
      </c>
      <c r="E57" s="2"/>
    </row>
    <row r="58" spans="3:5" x14ac:dyDescent="0.35">
      <c r="C58" t="s">
        <v>227</v>
      </c>
      <c r="D58" t="str">
        <f>LOWER(Table11[[#This Row],[Name]])</f>
        <v>advanced context techniques.pptx</v>
      </c>
      <c r="E58" s="2"/>
    </row>
    <row r="59" spans="3:5" x14ac:dyDescent="0.35">
      <c r="C59" t="s">
        <v>228</v>
      </c>
      <c r="D59" t="str">
        <f>LOWER(Table11[[#This Row],[Name]])</f>
        <v>ai practitioner resources.pptx</v>
      </c>
      <c r="E59" s="2" t="s">
        <v>343</v>
      </c>
    </row>
    <row r="60" spans="3:5" ht="145" x14ac:dyDescent="0.35">
      <c r="C60" t="s">
        <v>342</v>
      </c>
      <c r="D60" t="str">
        <f>LOWER(Table11[[#This Row],[Name]])</f>
        <v>_ai-development-approaches-comparison.pptx</v>
      </c>
      <c r="E60" s="2" t="s">
        <v>339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3"/>
  <sheetViews>
    <sheetView workbookViewId="0">
      <selection activeCell="G6" sqref="G6"/>
    </sheetView>
  </sheetViews>
  <sheetFormatPr defaultRowHeight="14.5" x14ac:dyDescent="0.35"/>
  <cols>
    <col min="3" max="3" width="40.08984375" customWidth="1"/>
    <col min="4" max="4" width="11.08984375" style="1" hidden="1" customWidth="1"/>
    <col min="5" max="5" width="9.81640625" customWidth="1"/>
    <col min="6" max="6" width="52.08984375" customWidth="1"/>
    <col min="7" max="7" width="29.81640625" style="1" bestFit="1" customWidth="1"/>
    <col min="8" max="8" width="10.81640625" bestFit="1" customWidth="1"/>
    <col min="9" max="9" width="13.08984375" bestFit="1" customWidth="1"/>
  </cols>
  <sheetData>
    <row r="2" spans="3:16" x14ac:dyDescent="0.35">
      <c r="C2" t="s">
        <v>1</v>
      </c>
      <c r="D2" s="1" t="s">
        <v>2</v>
      </c>
      <c r="E2" t="s">
        <v>3</v>
      </c>
      <c r="F2" t="s">
        <v>4</v>
      </c>
      <c r="G2" t="s">
        <v>198</v>
      </c>
      <c r="H2" t="s">
        <v>200</v>
      </c>
      <c r="I2" s="1" t="s">
        <v>31</v>
      </c>
      <c r="J2" s="1" t="s">
        <v>43</v>
      </c>
      <c r="K2" s="1" t="s">
        <v>44</v>
      </c>
      <c r="L2" s="1" t="s">
        <v>45</v>
      </c>
      <c r="M2" s="1" t="s">
        <v>46</v>
      </c>
      <c r="N2" s="1" t="s">
        <v>47</v>
      </c>
      <c r="O2" s="1" t="s">
        <v>48</v>
      </c>
      <c r="P2" s="1" t="s">
        <v>49</v>
      </c>
    </row>
    <row r="3" spans="3:16" ht="29" x14ac:dyDescent="0.35">
      <c r="C3" t="s">
        <v>5</v>
      </c>
      <c r="D3" s="1">
        <v>0</v>
      </c>
      <c r="E3">
        <v>15</v>
      </c>
      <c r="F3" s="2" t="s">
        <v>6</v>
      </c>
      <c r="G3" s="2" t="s">
        <v>210</v>
      </c>
      <c r="H3" s="24" t="s">
        <v>201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35">
      <c r="C4" t="s">
        <v>234</v>
      </c>
      <c r="E4">
        <v>5</v>
      </c>
      <c r="F4" s="2" t="s">
        <v>236</v>
      </c>
      <c r="G4" t="s">
        <v>233</v>
      </c>
      <c r="H4" s="2" t="s">
        <v>235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8" x14ac:dyDescent="0.35">
      <c r="C5" t="s">
        <v>33</v>
      </c>
      <c r="D5" s="1">
        <v>4.8611111111111112E-3</v>
      </c>
      <c r="E5">
        <v>10</v>
      </c>
      <c r="F5" s="2" t="s">
        <v>336</v>
      </c>
      <c r="G5" s="2" t="s">
        <v>337</v>
      </c>
      <c r="H5" s="2" t="s">
        <v>202</v>
      </c>
      <c r="I5" s="1">
        <f t="shared" ref="I5:I32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ht="29" x14ac:dyDescent="0.35">
      <c r="C6" t="s">
        <v>36</v>
      </c>
      <c r="E6">
        <v>10</v>
      </c>
      <c r="F6" s="2" t="s">
        <v>112</v>
      </c>
      <c r="G6" s="2" t="s">
        <v>36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43.5" x14ac:dyDescent="0.35">
      <c r="C7" t="s">
        <v>9</v>
      </c>
      <c r="D7" s="1">
        <v>2.5694444444444443E-2</v>
      </c>
      <c r="E7">
        <v>15</v>
      </c>
      <c r="F7" s="2" t="s">
        <v>10</v>
      </c>
      <c r="G7" s="2" t="s">
        <v>211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29" x14ac:dyDescent="0.35">
      <c r="C8" t="s">
        <v>208</v>
      </c>
      <c r="E8">
        <v>0</v>
      </c>
      <c r="F8" s="2" t="s">
        <v>108</v>
      </c>
      <c r="G8" s="2"/>
      <c r="H8" s="2"/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ht="58" x14ac:dyDescent="0.35">
      <c r="C9" t="s">
        <v>203</v>
      </c>
      <c r="E9">
        <v>70</v>
      </c>
      <c r="F9" s="2" t="s">
        <v>213</v>
      </c>
      <c r="G9" s="2" t="s">
        <v>212</v>
      </c>
      <c r="H9" s="2">
        <v>2</v>
      </c>
      <c r="I9" s="1">
        <f t="shared" si="0"/>
        <v>0.4548611111111111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35">
      <c r="C10" t="s">
        <v>204</v>
      </c>
      <c r="E10">
        <v>0</v>
      </c>
      <c r="F10" s="2" t="s">
        <v>12</v>
      </c>
      <c r="G10" s="2" t="s">
        <v>212</v>
      </c>
      <c r="H10" s="2">
        <v>11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x14ac:dyDescent="0.35">
      <c r="C11" t="s">
        <v>205</v>
      </c>
      <c r="E11">
        <v>0</v>
      </c>
      <c r="F11" s="2" t="s">
        <v>13</v>
      </c>
      <c r="G11" s="2" t="s">
        <v>212</v>
      </c>
      <c r="H11" s="2">
        <v>12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9" x14ac:dyDescent="0.35">
      <c r="C12" t="s">
        <v>206</v>
      </c>
      <c r="E12">
        <v>0</v>
      </c>
      <c r="F12" s="2" t="s">
        <v>111</v>
      </c>
      <c r="G12" s="2" t="s">
        <v>212</v>
      </c>
      <c r="H12" s="2">
        <v>13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9" x14ac:dyDescent="0.35">
      <c r="C13" t="s">
        <v>207</v>
      </c>
      <c r="E13">
        <v>0</v>
      </c>
      <c r="F13" s="2" t="s">
        <v>110</v>
      </c>
      <c r="G13" s="2" t="s">
        <v>212</v>
      </c>
      <c r="H13" s="2">
        <v>14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58" x14ac:dyDescent="0.35">
      <c r="C14" t="s">
        <v>209</v>
      </c>
      <c r="E14">
        <v>0</v>
      </c>
      <c r="F14" s="2" t="s">
        <v>109</v>
      </c>
      <c r="G14" s="2" t="s">
        <v>256</v>
      </c>
      <c r="H14" s="2">
        <v>15</v>
      </c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5" t="b">
        <v>1</v>
      </c>
    </row>
    <row r="15" spans="3:16" ht="29" x14ac:dyDescent="0.35">
      <c r="C15" t="s">
        <v>0</v>
      </c>
      <c r="D15" s="1">
        <v>1.2500000000000001E-2</v>
      </c>
      <c r="E15">
        <v>0</v>
      </c>
      <c r="F15" s="2" t="s">
        <v>14</v>
      </c>
      <c r="G15" s="2"/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35">
      <c r="C16" t="s">
        <v>15</v>
      </c>
      <c r="D16" s="1">
        <v>2.361111111111111E-2</v>
      </c>
      <c r="E16">
        <v>0</v>
      </c>
      <c r="F16" s="2" t="s">
        <v>16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1</v>
      </c>
      <c r="O16" s="5" t="b">
        <v>1</v>
      </c>
      <c r="P16" s="5" t="b">
        <v>0</v>
      </c>
    </row>
    <row r="17" spans="3:16" x14ac:dyDescent="0.35">
      <c r="C17" t="s">
        <v>17</v>
      </c>
      <c r="D17" s="1">
        <v>2.5694444444444443E-2</v>
      </c>
      <c r="E17">
        <v>0</v>
      </c>
      <c r="F17" s="2" t="s">
        <v>18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1</v>
      </c>
      <c r="O17" s="5" t="b">
        <v>1</v>
      </c>
      <c r="P17" s="5" t="b">
        <v>0</v>
      </c>
    </row>
    <row r="18" spans="3:16" x14ac:dyDescent="0.35">
      <c r="C18" t="s">
        <v>19</v>
      </c>
      <c r="D18" s="1">
        <v>2.7777777777777776E-2</v>
      </c>
      <c r="E18">
        <v>0</v>
      </c>
      <c r="F18" s="2" t="s">
        <v>20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35">
      <c r="C19" t="s">
        <v>21</v>
      </c>
      <c r="D19" s="1">
        <v>3.1944444444444442E-2</v>
      </c>
      <c r="E19">
        <v>0</v>
      </c>
      <c r="F19" s="2" t="s">
        <v>22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35">
      <c r="C20" t="s">
        <v>23</v>
      </c>
      <c r="D20" s="1">
        <v>3.888888888888889E-2</v>
      </c>
      <c r="E20">
        <v>0</v>
      </c>
      <c r="F20" s="2" t="s">
        <v>24</v>
      </c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35">
      <c r="C21" t="s">
        <v>25</v>
      </c>
      <c r="D21" s="1">
        <v>4.8611111111111112E-2</v>
      </c>
      <c r="E21">
        <v>0</v>
      </c>
      <c r="F21" s="2" t="s">
        <v>26</v>
      </c>
      <c r="G21" s="2"/>
      <c r="H21" s="2"/>
      <c r="I21" s="1">
        <f t="shared" si="0"/>
        <v>0.50347222222222221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x14ac:dyDescent="0.35">
      <c r="C22" t="s">
        <v>32</v>
      </c>
      <c r="E22">
        <v>60</v>
      </c>
      <c r="F22" s="2"/>
      <c r="G22" s="2"/>
      <c r="H22" s="2"/>
      <c r="I22" s="1">
        <f t="shared" si="0"/>
        <v>0.50347222222222221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x14ac:dyDescent="0.35">
      <c r="C23" t="s">
        <v>29</v>
      </c>
      <c r="D23" s="1">
        <v>8.0555555555555561E-2</v>
      </c>
      <c r="E23">
        <v>15</v>
      </c>
      <c r="F23" s="2" t="s">
        <v>30</v>
      </c>
      <c r="G23" s="2"/>
      <c r="H23" s="2"/>
      <c r="I23" s="1">
        <f t="shared" si="0"/>
        <v>0.54513888888888884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1</v>
      </c>
    </row>
    <row r="24" spans="3:16" x14ac:dyDescent="0.35">
      <c r="C24" t="s">
        <v>27</v>
      </c>
      <c r="D24" s="1">
        <v>5.9027777777777776E-2</v>
      </c>
      <c r="E24">
        <v>15</v>
      </c>
      <c r="F24" s="2" t="s">
        <v>28</v>
      </c>
      <c r="G24" s="2"/>
      <c r="H24" s="2"/>
      <c r="I24" s="1">
        <f t="shared" si="0"/>
        <v>0.55555555555555547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1</v>
      </c>
    </row>
    <row r="25" spans="3:16" ht="29" x14ac:dyDescent="0.35">
      <c r="C25" t="s">
        <v>274</v>
      </c>
      <c r="F25" s="2" t="s">
        <v>278</v>
      </c>
      <c r="G25" t="s">
        <v>274</v>
      </c>
      <c r="H25" s="2"/>
      <c r="I25" s="1">
        <f>I24 + (E24/ 1440)</f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101.5" x14ac:dyDescent="0.35">
      <c r="C26" t="s">
        <v>276</v>
      </c>
      <c r="F26" s="2" t="s">
        <v>316</v>
      </c>
      <c r="G26" s="2" t="s">
        <v>317</v>
      </c>
      <c r="H26" s="2"/>
      <c r="I26" s="1">
        <f>I24 + (E24/ 1440)</f>
        <v>0.5659722222222221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58" x14ac:dyDescent="0.35">
      <c r="C27" t="s">
        <v>42</v>
      </c>
      <c r="E27">
        <v>40</v>
      </c>
      <c r="F27" s="2" t="s">
        <v>105</v>
      </c>
      <c r="G27" s="2" t="s">
        <v>319</v>
      </c>
      <c r="H27" s="2"/>
      <c r="I27" s="1">
        <f>I24 + (E24/ 1440)</f>
        <v>0.5659722222222221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29" x14ac:dyDescent="0.35">
      <c r="C28" t="s">
        <v>38</v>
      </c>
      <c r="E28">
        <v>5</v>
      </c>
      <c r="F28" s="2" t="s">
        <v>104</v>
      </c>
      <c r="G28" s="2"/>
      <c r="H28" s="2"/>
      <c r="I28" s="1">
        <f t="shared" si="0"/>
        <v>0.59374999999999989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43.5" x14ac:dyDescent="0.35">
      <c r="C29" t="s">
        <v>41</v>
      </c>
      <c r="E29">
        <v>15</v>
      </c>
      <c r="F29" s="2" t="s">
        <v>103</v>
      </c>
      <c r="G29" s="2"/>
      <c r="H29" s="2"/>
      <c r="I29" s="1">
        <f t="shared" si="0"/>
        <v>0.5972222222222221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72.5" x14ac:dyDescent="0.35">
      <c r="C30" t="s">
        <v>75</v>
      </c>
      <c r="E30">
        <v>20</v>
      </c>
      <c r="F30" s="2" t="s">
        <v>137</v>
      </c>
      <c r="G30" t="s">
        <v>267</v>
      </c>
      <c r="I30" s="1">
        <f t="shared" si="0"/>
        <v>0.60763888888888873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ht="43.5" x14ac:dyDescent="0.35">
      <c r="C31" t="s">
        <v>52</v>
      </c>
      <c r="E31">
        <v>10</v>
      </c>
      <c r="F31" s="2" t="s">
        <v>102</v>
      </c>
      <c r="G31"/>
      <c r="I31" s="1">
        <f t="shared" si="0"/>
        <v>0.62152777777777757</v>
      </c>
      <c r="J31" s="5" t="b">
        <v>1</v>
      </c>
      <c r="K31" s="5" t="b">
        <v>1</v>
      </c>
      <c r="L31" s="5" t="b">
        <v>1</v>
      </c>
      <c r="M31" s="5" t="b">
        <v>1</v>
      </c>
      <c r="N31" s="5" t="b">
        <v>0</v>
      </c>
      <c r="O31" s="5" t="b">
        <v>0</v>
      </c>
      <c r="P31" s="5" t="b">
        <v>0</v>
      </c>
    </row>
    <row r="32" spans="3:16" ht="43.5" x14ac:dyDescent="0.35">
      <c r="C32" t="s">
        <v>61</v>
      </c>
      <c r="E32">
        <v>5</v>
      </c>
      <c r="F32" s="2" t="s">
        <v>99</v>
      </c>
      <c r="G32"/>
      <c r="I32" s="1">
        <f t="shared" si="0"/>
        <v>0.62847222222222199</v>
      </c>
      <c r="J32" s="5" t="b">
        <v>1</v>
      </c>
      <c r="K32" s="5" t="b">
        <v>1</v>
      </c>
      <c r="L32" s="5" t="b">
        <v>0</v>
      </c>
      <c r="M32" s="5" t="b">
        <v>0</v>
      </c>
      <c r="N32" s="5" t="b">
        <v>0</v>
      </c>
      <c r="O32" s="5" t="b">
        <v>0</v>
      </c>
      <c r="P32" s="5" t="b">
        <v>0</v>
      </c>
    </row>
    <row r="33" spans="7:16" x14ac:dyDescent="0.35">
      <c r="G33"/>
      <c r="I33" s="1"/>
      <c r="J33" s="16">
        <f>COUNTIF(monday[Copilot],TRUE)</f>
        <v>8</v>
      </c>
      <c r="K33" s="16">
        <f>COUNTIF(monday[Claude],TRUE)</f>
        <v>8</v>
      </c>
      <c r="L33" s="16">
        <f>COUNTIF(monday[Visual Studio],TRUE)</f>
        <v>2</v>
      </c>
      <c r="M33" s="16">
        <f>COUNTIF(monday[VS Code],TRUE)</f>
        <v>2</v>
      </c>
      <c r="N33" s="16">
        <f>COUNTIF(monday[GitHub],TRUE)</f>
        <v>3</v>
      </c>
      <c r="O33" s="16">
        <f>COUNTIF(monday[AzDO],TRUE)</f>
        <v>3</v>
      </c>
      <c r="P33" s="16">
        <f>COUNTIF(monday[Agnostic],TRUE)</f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7"/>
  <sheetViews>
    <sheetView workbookViewId="0">
      <selection activeCell="F15" sqref="F15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30.7265625" style="1" bestFit="1" customWidth="1"/>
    <col min="7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198</v>
      </c>
      <c r="G2" t="s">
        <v>214</v>
      </c>
      <c r="H2" s="1" t="s">
        <v>31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47</v>
      </c>
      <c r="N2" s="1" t="s">
        <v>48</v>
      </c>
      <c r="O2" s="1" t="s">
        <v>49</v>
      </c>
    </row>
    <row r="3" spans="2:15" x14ac:dyDescent="0.35">
      <c r="B3" t="s">
        <v>50</v>
      </c>
      <c r="C3" s="1">
        <v>0</v>
      </c>
      <c r="D3">
        <v>10</v>
      </c>
      <c r="E3" s="2"/>
      <c r="F3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s="3" t="s">
        <v>59</v>
      </c>
      <c r="C4" s="7"/>
      <c r="D4" s="4">
        <v>5</v>
      </c>
      <c r="E4" s="8" t="s">
        <v>100</v>
      </c>
      <c r="F4" s="25"/>
      <c r="G4" s="25"/>
      <c r="H4" s="1">
        <f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9" x14ac:dyDescent="0.35">
      <c r="B5" s="3" t="s">
        <v>53</v>
      </c>
      <c r="C5" s="7"/>
      <c r="D5" s="4">
        <v>5</v>
      </c>
      <c r="E5" s="8" t="s">
        <v>101</v>
      </c>
      <c r="F5" s="25"/>
      <c r="G5" s="25"/>
      <c r="H5" s="1">
        <f>H4 + (D4/ 1440)</f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9" x14ac:dyDescent="0.35">
      <c r="B6" s="3" t="s">
        <v>158</v>
      </c>
      <c r="C6" s="7">
        <v>6.2500000000000003E-3</v>
      </c>
      <c r="D6" s="4">
        <v>5</v>
      </c>
      <c r="E6" s="8" t="s">
        <v>7</v>
      </c>
      <c r="F6" s="26"/>
      <c r="G6" s="26"/>
      <c r="H6" s="1">
        <f>H5 + (D5/ 1440)</f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ht="29" x14ac:dyDescent="0.35">
      <c r="B7" s="3" t="s">
        <v>35</v>
      </c>
      <c r="C7" s="7">
        <v>2.013888888888889E-2</v>
      </c>
      <c r="D7" s="4">
        <v>10</v>
      </c>
      <c r="E7" s="8" t="s">
        <v>8</v>
      </c>
      <c r="F7" s="26" t="s">
        <v>272</v>
      </c>
      <c r="G7" s="26"/>
      <c r="H7" s="1">
        <f>H6 + (D6/ 1440)</f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35">
      <c r="B8" s="3" t="s">
        <v>34</v>
      </c>
      <c r="C8" s="7">
        <v>1.7361111111111112E-2</v>
      </c>
      <c r="D8" s="4">
        <v>5</v>
      </c>
      <c r="E8" s="8" t="s">
        <v>11</v>
      </c>
      <c r="F8" s="26"/>
      <c r="G8" s="26"/>
      <c r="H8" s="1">
        <f>H7 + (D7/ 1440)</f>
        <v>0.44097222222222215</v>
      </c>
      <c r="I8" s="9" t="b">
        <v>1</v>
      </c>
      <c r="J8" s="9" t="b">
        <v>1</v>
      </c>
      <c r="K8" s="9" t="b">
        <v>0</v>
      </c>
      <c r="L8" s="9" t="b">
        <v>0</v>
      </c>
      <c r="M8" s="9" t="b">
        <v>0</v>
      </c>
      <c r="N8" s="9" t="b">
        <v>0</v>
      </c>
      <c r="O8" s="10" t="b">
        <v>0</v>
      </c>
    </row>
    <row r="9" spans="2:15" ht="58" x14ac:dyDescent="0.35">
      <c r="B9" t="s">
        <v>37</v>
      </c>
      <c r="C9" s="1">
        <v>4.8611111111111112E-3</v>
      </c>
      <c r="D9">
        <v>20</v>
      </c>
      <c r="E9" s="2" t="s">
        <v>107</v>
      </c>
      <c r="F9"/>
      <c r="H9" s="1">
        <f>H8 + (D8/ 1440)</f>
        <v>0.44444444444444436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3.5" x14ac:dyDescent="0.35">
      <c r="B10" t="s">
        <v>51</v>
      </c>
      <c r="C10" s="1">
        <v>6.2500000000000003E-3</v>
      </c>
      <c r="D10">
        <v>10</v>
      </c>
      <c r="E10" s="2" t="s">
        <v>106</v>
      </c>
      <c r="F10"/>
      <c r="H10" s="1">
        <f>H9 + (D9/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35">
      <c r="B11" t="s">
        <v>160</v>
      </c>
      <c r="D11">
        <v>15</v>
      </c>
      <c r="E11" s="2" t="s">
        <v>159</v>
      </c>
      <c r="F11"/>
      <c r="H11" s="1">
        <f>H10 + (D10/ 1440)</f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9" x14ac:dyDescent="0.35">
      <c r="B12" t="s">
        <v>39</v>
      </c>
      <c r="C12" s="1">
        <v>2.013888888888889E-2</v>
      </c>
      <c r="D12">
        <v>20</v>
      </c>
      <c r="E12" s="2" t="s">
        <v>113</v>
      </c>
      <c r="F12"/>
      <c r="H12" s="1">
        <f>H11 + (D11/ 1440)</f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9" x14ac:dyDescent="0.35">
      <c r="B13" t="s">
        <v>40</v>
      </c>
      <c r="C13" s="1">
        <v>1.7361111111111112E-2</v>
      </c>
      <c r="D13">
        <v>20</v>
      </c>
      <c r="E13" s="2" t="s">
        <v>114</v>
      </c>
      <c r="F13"/>
      <c r="H13" s="1">
        <f>H12 + (D12/ 1440)</f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35">
      <c r="B14" s="3" t="s">
        <v>32</v>
      </c>
      <c r="C14" s="7"/>
      <c r="D14" s="4">
        <v>60</v>
      </c>
      <c r="E14" s="8"/>
      <c r="F14" s="25"/>
      <c r="G14" s="25"/>
      <c r="H14" s="1">
        <f>H13 + (D13/ 1440)</f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3.5" x14ac:dyDescent="0.35">
      <c r="B15" t="s">
        <v>54</v>
      </c>
      <c r="D15">
        <v>20</v>
      </c>
      <c r="E15" s="2" t="s">
        <v>115</v>
      </c>
      <c r="F15" t="s">
        <v>231</v>
      </c>
      <c r="H15" s="1">
        <f>H14 + (D14/ 1440)</f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8" x14ac:dyDescent="0.35">
      <c r="B16" t="s">
        <v>55</v>
      </c>
      <c r="C16" s="1">
        <v>2.5694444444444443E-2</v>
      </c>
      <c r="D16">
        <v>10</v>
      </c>
      <c r="E16" s="2" t="s">
        <v>116</v>
      </c>
      <c r="F16"/>
      <c r="H16" s="1">
        <f>H15 + (D15/ 1440)</f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9" x14ac:dyDescent="0.35">
      <c r="B17" t="s">
        <v>56</v>
      </c>
      <c r="D17">
        <v>10</v>
      </c>
      <c r="E17" s="2" t="s">
        <v>117</v>
      </c>
      <c r="F17"/>
      <c r="H17" s="1">
        <f>H16 + (D16/ 1440)</f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3.5" x14ac:dyDescent="0.35">
      <c r="B18" t="s">
        <v>57</v>
      </c>
      <c r="D18">
        <v>10</v>
      </c>
      <c r="E18" s="2" t="s">
        <v>118</v>
      </c>
      <c r="F18"/>
      <c r="H18" s="1">
        <f>H17 + (D17/ 1440)</f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9" x14ac:dyDescent="0.35">
      <c r="B19" t="s">
        <v>58</v>
      </c>
      <c r="D19">
        <v>5</v>
      </c>
      <c r="E19" s="2" t="s">
        <v>119</v>
      </c>
      <c r="F19"/>
      <c r="H19" s="1">
        <f>H18 + (D18/ 1440)</f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9" x14ac:dyDescent="0.35">
      <c r="B20" t="s">
        <v>120</v>
      </c>
      <c r="D20">
        <v>10</v>
      </c>
      <c r="E20" s="2" t="s">
        <v>123</v>
      </c>
      <c r="F20"/>
      <c r="H20" s="1">
        <f>H19 + (D19/ 1440)</f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8" x14ac:dyDescent="0.35">
      <c r="B21" t="s">
        <v>64</v>
      </c>
      <c r="D21">
        <v>5</v>
      </c>
      <c r="E21" s="2" t="s">
        <v>124</v>
      </c>
      <c r="F21" t="s">
        <v>218</v>
      </c>
      <c r="H21" s="1">
        <f>H20 + (D20/ 1440)</f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x14ac:dyDescent="0.35">
      <c r="B22" t="s">
        <v>65</v>
      </c>
      <c r="D22">
        <v>10</v>
      </c>
      <c r="E22" s="2"/>
      <c r="F22"/>
      <c r="H22" s="1">
        <f>H21 + (D21/ 1440)</f>
        <v>0.59374999999999967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43.5" x14ac:dyDescent="0.35">
      <c r="B23" t="s">
        <v>66</v>
      </c>
      <c r="D23">
        <v>10</v>
      </c>
      <c r="E23" s="2" t="s">
        <v>125</v>
      </c>
      <c r="F23" t="s">
        <v>217</v>
      </c>
      <c r="H23" s="1">
        <f>H22 + (D22/ 1440)</f>
        <v>0.60069444444444409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159.5" x14ac:dyDescent="0.35">
      <c r="B24" t="s">
        <v>67</v>
      </c>
      <c r="C24" s="1">
        <v>1.2500000000000001E-2</v>
      </c>
      <c r="D24">
        <v>15</v>
      </c>
      <c r="E24" s="2" t="s">
        <v>126</v>
      </c>
      <c r="F24"/>
      <c r="H24" s="1">
        <f>H23 + (D23/ 1440)</f>
        <v>0.60763888888888851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ht="72.5" x14ac:dyDescent="0.35">
      <c r="B25" t="s">
        <v>68</v>
      </c>
      <c r="C25" s="1">
        <v>2.361111111111111E-2</v>
      </c>
      <c r="D25">
        <v>10</v>
      </c>
      <c r="E25" s="2" t="s">
        <v>127</v>
      </c>
      <c r="F25"/>
      <c r="H25" s="1">
        <f>H24 + (D24/ 1440)</f>
        <v>0.61805555555555514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ht="43.5" x14ac:dyDescent="0.35">
      <c r="B26" t="s">
        <v>69</v>
      </c>
      <c r="C26" s="1">
        <v>2.5694444444444443E-2</v>
      </c>
      <c r="D26">
        <v>5</v>
      </c>
      <c r="E26" s="2" t="s">
        <v>128</v>
      </c>
      <c r="F26"/>
      <c r="H26" s="1">
        <f>H25 + (D25/ 1440)</f>
        <v>0.62499999999999956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1</v>
      </c>
    </row>
    <row r="27" spans="2:15" x14ac:dyDescent="0.35">
      <c r="F27"/>
      <c r="H27" s="1"/>
      <c r="I27" s="16">
        <f>COUNTIF(tuesday[Copilot],TRUE)</f>
        <v>8</v>
      </c>
      <c r="J27" s="16">
        <f>COUNTIF(tuesday[Claude],TRUE)</f>
        <v>8</v>
      </c>
      <c r="K27" s="16">
        <f>COUNTIF(tuesday[Visual Studio],TRUE)</f>
        <v>2</v>
      </c>
      <c r="L27" s="16">
        <f>COUNTIF(tuesday[VS Code],TRUE)</f>
        <v>1</v>
      </c>
      <c r="M27" s="16">
        <f>COUNTIF(tuesday[GitHub],TRUE)</f>
        <v>1</v>
      </c>
      <c r="N27" s="16">
        <f>COUNTIF(tuesday[AzDO],TRUE)</f>
        <v>2</v>
      </c>
      <c r="O27" s="16">
        <f>COUNTIF(tuesday[Agnostic],TRUE)</f>
        <v>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workbookViewId="0">
      <selection activeCell="F5" sqref="F5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44.26953125" style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198</v>
      </c>
      <c r="G2" t="s">
        <v>214</v>
      </c>
      <c r="H2" s="1" t="s">
        <v>31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47</v>
      </c>
      <c r="N2" s="1" t="s">
        <v>48</v>
      </c>
      <c r="O2" s="1" t="s">
        <v>49</v>
      </c>
    </row>
    <row r="3" spans="2:15" x14ac:dyDescent="0.35">
      <c r="B3" t="s">
        <v>50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03" x14ac:dyDescent="0.35">
      <c r="B4" t="s">
        <v>268</v>
      </c>
      <c r="E4" s="2" t="s">
        <v>340</v>
      </c>
      <c r="F4" s="2" t="s">
        <v>341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4" x14ac:dyDescent="0.35">
      <c r="B5" t="s">
        <v>77</v>
      </c>
      <c r="D5">
        <v>15</v>
      </c>
      <c r="E5" s="2" t="s">
        <v>305</v>
      </c>
      <c r="F5" s="2" t="s">
        <v>230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8" x14ac:dyDescent="0.35">
      <c r="B6" t="s">
        <v>291</v>
      </c>
      <c r="E6" s="2" t="s">
        <v>290</v>
      </c>
      <c r="F6" s="2" t="s">
        <v>219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35">
      <c r="B7" s="3" t="s">
        <v>129</v>
      </c>
      <c r="C7" s="7"/>
      <c r="D7" s="4">
        <v>15</v>
      </c>
      <c r="E7" s="8" t="s">
        <v>129</v>
      </c>
      <c r="F7" s="26"/>
      <c r="G7" s="25"/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35">
      <c r="B8" t="s">
        <v>161</v>
      </c>
      <c r="D8">
        <v>40</v>
      </c>
      <c r="E8" s="2" t="s">
        <v>162</v>
      </c>
      <c r="F8" s="2" t="s">
        <v>243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35">
      <c r="B9" t="s">
        <v>163</v>
      </c>
      <c r="D9">
        <v>40</v>
      </c>
      <c r="E9" s="2" t="s">
        <v>164</v>
      </c>
      <c r="F9" s="2"/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3.5" x14ac:dyDescent="0.35">
      <c r="B10" t="s">
        <v>78</v>
      </c>
      <c r="D10">
        <v>5</v>
      </c>
      <c r="E10" s="2" t="s">
        <v>131</v>
      </c>
      <c r="F10" s="2"/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7" x14ac:dyDescent="0.35">
      <c r="B11" s="3" t="s">
        <v>76</v>
      </c>
      <c r="C11" s="7"/>
      <c r="D11" s="4">
        <v>15</v>
      </c>
      <c r="E11" s="8" t="s">
        <v>130</v>
      </c>
      <c r="F11" s="26" t="s">
        <v>264</v>
      </c>
      <c r="G11" s="25"/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7" x14ac:dyDescent="0.35">
      <c r="B12" s="11" t="s">
        <v>165</v>
      </c>
      <c r="C12" s="12"/>
      <c r="D12" s="13">
        <v>40</v>
      </c>
      <c r="E12" s="27" t="s">
        <v>130</v>
      </c>
      <c r="F12" s="26"/>
      <c r="G12" s="25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3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workbookViewId="0">
      <selection activeCell="E12" sqref="E12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25.453125" style="1" bestFit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198</v>
      </c>
      <c r="G2" t="s">
        <v>214</v>
      </c>
      <c r="H2" s="1" t="s">
        <v>31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47</v>
      </c>
      <c r="N2" s="1" t="s">
        <v>48</v>
      </c>
      <c r="O2" s="1" t="s">
        <v>49</v>
      </c>
    </row>
    <row r="3" spans="2:15" x14ac:dyDescent="0.35">
      <c r="B3" t="s">
        <v>50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t="s">
        <v>87</v>
      </c>
      <c r="D4">
        <v>20</v>
      </c>
      <c r="E4" s="2" t="s">
        <v>138</v>
      </c>
      <c r="F4" s="2"/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35">
      <c r="B5" t="s">
        <v>121</v>
      </c>
      <c r="D5">
        <v>10</v>
      </c>
      <c r="E5" s="2" t="s">
        <v>122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x14ac:dyDescent="0.35">
      <c r="B6" t="s">
        <v>238</v>
      </c>
      <c r="D6">
        <v>10</v>
      </c>
      <c r="E6" s="2" t="s">
        <v>239</v>
      </c>
      <c r="F6" s="2" t="s">
        <v>238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7" x14ac:dyDescent="0.35">
      <c r="B7" t="s">
        <v>63</v>
      </c>
      <c r="D7">
        <v>10</v>
      </c>
      <c r="E7" s="2" t="s">
        <v>328</v>
      </c>
      <c r="F7" s="2" t="s">
        <v>329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8" x14ac:dyDescent="0.35">
      <c r="B8" t="s">
        <v>71</v>
      </c>
      <c r="D8">
        <v>15</v>
      </c>
      <c r="E8" s="2" t="s">
        <v>134</v>
      </c>
      <c r="F8" s="2"/>
      <c r="H8" s="1">
        <f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8" x14ac:dyDescent="0.35">
      <c r="B9" t="s">
        <v>72</v>
      </c>
      <c r="D9">
        <v>20</v>
      </c>
      <c r="E9" s="2" t="s">
        <v>135</v>
      </c>
      <c r="F9" s="2"/>
      <c r="H9" s="1">
        <f>H8 + (D8/ 1440)</f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4" x14ac:dyDescent="0.35">
      <c r="B10" t="s">
        <v>60</v>
      </c>
      <c r="D10">
        <v>45</v>
      </c>
      <c r="E10" s="2" t="s">
        <v>333</v>
      </c>
      <c r="F10" s="2" t="s">
        <v>332</v>
      </c>
      <c r="H10" s="1">
        <f>H9 + (D9/ 1440)</f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35">
      <c r="B11" t="s">
        <v>32</v>
      </c>
      <c r="D11">
        <v>60</v>
      </c>
      <c r="E11" s="2"/>
      <c r="F11" s="2"/>
      <c r="H11" s="1">
        <f>H10 + (D10/ 1440)</f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8" x14ac:dyDescent="0.35">
      <c r="B12" t="s">
        <v>62</v>
      </c>
      <c r="D12">
        <v>15</v>
      </c>
      <c r="E12" s="2" t="s">
        <v>132</v>
      </c>
      <c r="F12" s="2"/>
      <c r="H12" s="1">
        <f>H11 + (D11/ 1440)</f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x14ac:dyDescent="0.35">
      <c r="B13" t="s">
        <v>70</v>
      </c>
      <c r="D13">
        <v>20</v>
      </c>
      <c r="E13" s="2" t="s">
        <v>133</v>
      </c>
      <c r="F13" s="2"/>
      <c r="H13" s="1">
        <f>H12 + (D12/ 1440)</f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3.5" x14ac:dyDescent="0.35">
      <c r="B14" t="s">
        <v>73</v>
      </c>
      <c r="D14">
        <v>45</v>
      </c>
      <c r="E14" s="2" t="s">
        <v>136</v>
      </c>
      <c r="F14" s="2"/>
      <c r="H14" s="1">
        <f>H13 + (D13/ 1440)</f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9" x14ac:dyDescent="0.35">
      <c r="B15" t="s">
        <v>74</v>
      </c>
      <c r="D15">
        <v>30</v>
      </c>
      <c r="E15" s="2" t="s">
        <v>109</v>
      </c>
      <c r="F15" s="2"/>
      <c r="H15" s="1">
        <f>H14 + (D14/ 1440)</f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3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6"/>
  <sheetViews>
    <sheetView tabSelected="1" workbookViewId="0">
      <selection activeCell="E11" sqref="E11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33.08984375" style="1" bestFit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198</v>
      </c>
      <c r="G2" t="s">
        <v>214</v>
      </c>
      <c r="H2" s="1" t="s">
        <v>31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47</v>
      </c>
      <c r="N2" s="1" t="s">
        <v>48</v>
      </c>
      <c r="O2" s="1" t="s">
        <v>49</v>
      </c>
    </row>
    <row r="3" spans="2:15" x14ac:dyDescent="0.35">
      <c r="B3" t="s">
        <v>50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t="s">
        <v>88</v>
      </c>
      <c r="D4">
        <v>5</v>
      </c>
      <c r="E4" s="2" t="s">
        <v>147</v>
      </c>
      <c r="F4"/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8" x14ac:dyDescent="0.35">
      <c r="B5" t="s">
        <v>79</v>
      </c>
      <c r="C5" s="1">
        <v>4.8611111111111112E-3</v>
      </c>
      <c r="D5">
        <v>5</v>
      </c>
      <c r="E5" s="2" t="s">
        <v>139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7" x14ac:dyDescent="0.35">
      <c r="B6" t="s">
        <v>81</v>
      </c>
      <c r="D6">
        <v>10</v>
      </c>
      <c r="E6" s="2" t="s">
        <v>141</v>
      </c>
      <c r="F6"/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2.5" x14ac:dyDescent="0.35">
      <c r="B7" t="s">
        <v>82</v>
      </c>
      <c r="D7">
        <v>5</v>
      </c>
      <c r="E7" s="2" t="s">
        <v>142</v>
      </c>
      <c r="F7" t="s">
        <v>232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8" x14ac:dyDescent="0.35">
      <c r="B8" t="s">
        <v>247</v>
      </c>
      <c r="E8" s="2" t="s">
        <v>246</v>
      </c>
      <c r="F8" t="s">
        <v>247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3.5" x14ac:dyDescent="0.35">
      <c r="B9" t="s">
        <v>80</v>
      </c>
      <c r="D9">
        <v>15</v>
      </c>
      <c r="E9" s="2" t="s">
        <v>140</v>
      </c>
      <c r="F9" t="s">
        <v>247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87" x14ac:dyDescent="0.35">
      <c r="B10" t="s">
        <v>310</v>
      </c>
      <c r="E10" s="2" t="s">
        <v>309</v>
      </c>
      <c r="F10" t="s">
        <v>229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8" x14ac:dyDescent="0.35">
      <c r="B11" t="s">
        <v>83</v>
      </c>
      <c r="D11">
        <v>15</v>
      </c>
      <c r="E11" s="2" t="s">
        <v>143</v>
      </c>
      <c r="F11"/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72.5" x14ac:dyDescent="0.35">
      <c r="B12" t="s">
        <v>84</v>
      </c>
      <c r="D12">
        <v>20</v>
      </c>
      <c r="E12" s="2" t="s">
        <v>144</v>
      </c>
      <c r="F12" t="s">
        <v>241</v>
      </c>
      <c r="H12" s="1">
        <f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101.5" x14ac:dyDescent="0.35">
      <c r="B13" t="s">
        <v>85</v>
      </c>
      <c r="D13">
        <v>15</v>
      </c>
      <c r="E13" s="2" t="s">
        <v>145</v>
      </c>
      <c r="H13" s="1">
        <f>H12 + (D12/ 1440)</f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3.5" x14ac:dyDescent="0.35">
      <c r="B14" t="s">
        <v>89</v>
      </c>
      <c r="D14">
        <v>5</v>
      </c>
      <c r="E14" s="2" t="s">
        <v>148</v>
      </c>
      <c r="F14"/>
      <c r="H14" s="1">
        <f>H13 + (D13/ 1440)</f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43.5" x14ac:dyDescent="0.35">
      <c r="B15" t="s">
        <v>92</v>
      </c>
      <c r="D15">
        <v>5</v>
      </c>
      <c r="E15" s="2" t="s">
        <v>151</v>
      </c>
      <c r="F15"/>
      <c r="H15" s="1">
        <f>H14 + (D14/ 1440)</f>
        <v>0.49305555555555558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  <c r="N15" s="5" t="b">
        <v>0</v>
      </c>
      <c r="O15" s="5" t="b">
        <v>0</v>
      </c>
    </row>
    <row r="16" spans="2:15" ht="29" x14ac:dyDescent="0.35">
      <c r="B16" t="s">
        <v>93</v>
      </c>
      <c r="D16">
        <v>10</v>
      </c>
      <c r="E16" s="2" t="s">
        <v>152</v>
      </c>
      <c r="F16"/>
      <c r="H16" s="1">
        <f>H15 + (D15/ 1440)</f>
        <v>0.49652777777777779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  <c r="N16" s="5" t="b">
        <v>0</v>
      </c>
      <c r="O16" s="5" t="b">
        <v>0</v>
      </c>
    </row>
    <row r="17" spans="2:15" x14ac:dyDescent="0.35">
      <c r="B17" t="s">
        <v>32</v>
      </c>
      <c r="D17">
        <v>60</v>
      </c>
      <c r="E17" s="2"/>
      <c r="F17"/>
      <c r="H17" s="1">
        <f>H16 + (D16/ 1440)</f>
        <v>0.50347222222222221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1</v>
      </c>
    </row>
    <row r="18" spans="2:15" ht="72.5" x14ac:dyDescent="0.35">
      <c r="B18" t="s">
        <v>86</v>
      </c>
      <c r="D18">
        <v>20</v>
      </c>
      <c r="E18" s="2" t="s">
        <v>146</v>
      </c>
      <c r="F18" t="s">
        <v>271</v>
      </c>
      <c r="H18" s="1">
        <f>H17 + (D17/ 1440)</f>
        <v>0.54513888888888884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87" x14ac:dyDescent="0.35">
      <c r="B19" t="s">
        <v>90</v>
      </c>
      <c r="D19">
        <v>40</v>
      </c>
      <c r="E19" s="2" t="s">
        <v>149</v>
      </c>
      <c r="F19" t="s">
        <v>273</v>
      </c>
      <c r="H19" s="1">
        <f>H18 + (D18/ 1440)</f>
        <v>0.55902777777777768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</row>
    <row r="20" spans="2:15" ht="43.5" x14ac:dyDescent="0.35">
      <c r="B20" t="s">
        <v>91</v>
      </c>
      <c r="D20">
        <v>10</v>
      </c>
      <c r="E20" s="2" t="s">
        <v>150</v>
      </c>
      <c r="F20"/>
      <c r="H20" s="1">
        <f>H19 + (D19/ 1440)</f>
        <v>0.58680555555555547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29" x14ac:dyDescent="0.35">
      <c r="B21" t="s">
        <v>94</v>
      </c>
      <c r="D21">
        <v>5</v>
      </c>
      <c r="E21" s="2" t="s">
        <v>153</v>
      </c>
      <c r="F21"/>
      <c r="H21" s="1">
        <f>H20 + (D20/ 1440)</f>
        <v>0.59374999999999989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43.5" x14ac:dyDescent="0.35">
      <c r="B22" t="s">
        <v>95</v>
      </c>
      <c r="D22">
        <v>20</v>
      </c>
      <c r="E22" s="2" t="s">
        <v>154</v>
      </c>
      <c r="F22"/>
      <c r="H22" s="1">
        <f>H21 + (D21/ 1440)</f>
        <v>0.5972222222222221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  <c r="N22" s="5" t="b">
        <v>1</v>
      </c>
      <c r="O22" s="5" t="b">
        <v>0</v>
      </c>
    </row>
    <row r="23" spans="2:15" ht="29" x14ac:dyDescent="0.35">
      <c r="B23" t="s">
        <v>96</v>
      </c>
      <c r="D23">
        <v>15</v>
      </c>
      <c r="E23" s="2" t="s">
        <v>155</v>
      </c>
      <c r="F23"/>
      <c r="H23" s="1">
        <f>H22 + (D22/ 1440)</f>
        <v>0.61111111111111094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8" x14ac:dyDescent="0.35">
      <c r="B24" t="s">
        <v>97</v>
      </c>
      <c r="D24">
        <v>10</v>
      </c>
      <c r="E24" s="2" t="s">
        <v>156</v>
      </c>
      <c r="F24"/>
      <c r="H24" s="1">
        <f>H23 + (D23/ 1440)</f>
        <v>0.62152777777777757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  <c r="N24" s="5" t="b">
        <v>1</v>
      </c>
      <c r="O24" s="5" t="b">
        <v>0</v>
      </c>
    </row>
    <row r="25" spans="2:15" ht="101.5" x14ac:dyDescent="0.35">
      <c r="B25" t="s">
        <v>98</v>
      </c>
      <c r="D25">
        <v>10</v>
      </c>
      <c r="E25" s="2" t="s">
        <v>157</v>
      </c>
      <c r="F25"/>
      <c r="H25" s="1">
        <f>H24 + (D24/ 1440)</f>
        <v>0.62847222222222199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35">
      <c r="F26"/>
      <c r="H26" s="1"/>
      <c r="I26" s="16">
        <f>COUNTIF(friday[Copilot],TRUE)</f>
        <v>0</v>
      </c>
      <c r="J26" s="16">
        <f>COUNTIF(friday[Claude],TRUE)</f>
        <v>0</v>
      </c>
      <c r="K26" s="16">
        <f>COUNTIF(friday[Visual Studio],TRUE)</f>
        <v>2</v>
      </c>
      <c r="L26" s="16">
        <f>COUNTIF(friday[VS Code],TRUE)</f>
        <v>2</v>
      </c>
      <c r="M26" s="16">
        <f>COUNTIF(friday[GitHub],TRUE)</f>
        <v>3</v>
      </c>
      <c r="N26" s="16">
        <f>COUNTIF(friday[AzDO],TRUE)</f>
        <v>3</v>
      </c>
      <c r="O26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topLeftCell="A15" workbookViewId="0">
      <selection activeCell="G29" sqref="G29:G31"/>
    </sheetView>
  </sheetViews>
  <sheetFormatPr defaultRowHeight="14.5" x14ac:dyDescent="0.35"/>
  <cols>
    <col min="2" max="2" width="10.1796875" bestFit="1" customWidth="1"/>
    <col min="3" max="4" width="11.1796875" bestFit="1" customWidth="1"/>
    <col min="5" max="5" width="14.08984375" bestFit="1" customWidth="1"/>
    <col min="6" max="6" width="10" bestFit="1" customWidth="1"/>
    <col min="7" max="7" width="18.81640625" customWidth="1"/>
    <col min="8" max="8" width="7.54296875" bestFit="1" customWidth="1"/>
    <col min="9" max="9" width="10.26953125" bestFit="1" customWidth="1"/>
  </cols>
  <sheetData>
    <row r="2" spans="2:9" x14ac:dyDescent="0.35">
      <c r="C2" s="23" t="s">
        <v>180</v>
      </c>
      <c r="D2" s="23"/>
      <c r="E2" s="23" t="s">
        <v>178</v>
      </c>
      <c r="F2" s="23"/>
      <c r="G2" s="23" t="s">
        <v>179</v>
      </c>
      <c r="H2" s="23"/>
    </row>
    <row r="3" spans="2:9" x14ac:dyDescent="0.35">
      <c r="B3" s="17" t="s">
        <v>167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</row>
    <row r="4" spans="2:9" ht="15" thickBot="1" x14ac:dyDescent="0.4">
      <c r="B4" s="18" t="s">
        <v>166</v>
      </c>
      <c r="C4" s="20">
        <f>COUNTIF(monday[Copilot],TRUE)</f>
        <v>8</v>
      </c>
      <c r="D4" s="20">
        <f>COUNTIF(monday[Claude],TRUE)</f>
        <v>8</v>
      </c>
      <c r="E4" s="20">
        <f>COUNTIF(monday[Visual Studio],TRUE)</f>
        <v>2</v>
      </c>
      <c r="F4" s="20">
        <f>COUNTIF(monday[VS Code],TRUE)</f>
        <v>2</v>
      </c>
      <c r="G4" s="20">
        <f>COUNTIF(monday[GitHub],TRUE)</f>
        <v>3</v>
      </c>
      <c r="H4" s="20">
        <f>COUNTIF(monday[AzDO],TRUE)</f>
        <v>3</v>
      </c>
      <c r="I4" s="20">
        <f>COUNTIF(monday[Agnostic],TRUE)</f>
        <v>17</v>
      </c>
    </row>
    <row r="5" spans="2:9" ht="15.5" thickTop="1" thickBot="1" x14ac:dyDescent="0.4">
      <c r="B5" s="19" t="s">
        <v>168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13</v>
      </c>
    </row>
    <row r="6" spans="2:9" ht="15.5" thickTop="1" thickBot="1" x14ac:dyDescent="0.4">
      <c r="B6" s="19" t="s">
        <v>169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.5" thickTop="1" thickBot="1" x14ac:dyDescent="0.4">
      <c r="B7" s="19" t="s">
        <v>170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.5" thickTop="1" thickBot="1" x14ac:dyDescent="0.4">
      <c r="B8" s="19" t="s">
        <v>171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5" thickTop="1" x14ac:dyDescent="0.35">
      <c r="B9" s="19"/>
      <c r="C9" s="21">
        <f>SUM(Totals[Copilot])</f>
        <v>20</v>
      </c>
      <c r="D9" s="21">
        <f>SUM(Totals[Claude])</f>
        <v>20</v>
      </c>
      <c r="E9" s="21">
        <f>SUM(Totals[Visual Studio])</f>
        <v>8</v>
      </c>
      <c r="F9" s="21">
        <f>SUM(Totals[VS Code])</f>
        <v>7</v>
      </c>
      <c r="G9" s="21">
        <f>SUM(Totals[GitHub])</f>
        <v>10</v>
      </c>
      <c r="H9" s="21">
        <f>SUM(Totals[AzDO])</f>
        <v>11</v>
      </c>
      <c r="I9" s="21">
        <f>SUM(Totals[Agnostic])</f>
        <v>58</v>
      </c>
    </row>
    <row r="11" spans="2:9" x14ac:dyDescent="0.35">
      <c r="B11" t="s">
        <v>175</v>
      </c>
    </row>
    <row r="12" spans="2:9" x14ac:dyDescent="0.35">
      <c r="B12" t="s">
        <v>174</v>
      </c>
    </row>
    <row r="13" spans="2:9" x14ac:dyDescent="0.35">
      <c r="B13" t="s">
        <v>172</v>
      </c>
    </row>
    <row r="14" spans="2:9" x14ac:dyDescent="0.35">
      <c r="B14" t="s">
        <v>173</v>
      </c>
    </row>
    <row r="16" spans="2:9" x14ac:dyDescent="0.35">
      <c r="C16" s="22" t="s">
        <v>177</v>
      </c>
      <c r="D16" s="22" t="s">
        <v>178</v>
      </c>
      <c r="E16" s="22" t="s">
        <v>179</v>
      </c>
    </row>
    <row r="17" spans="2:8" x14ac:dyDescent="0.35">
      <c r="C17" s="22" t="s">
        <v>43</v>
      </c>
      <c r="D17" s="22" t="s">
        <v>45</v>
      </c>
      <c r="E17" s="22" t="s">
        <v>47</v>
      </c>
    </row>
    <row r="18" spans="2:8" x14ac:dyDescent="0.35">
      <c r="C18" s="22" t="s">
        <v>43</v>
      </c>
      <c r="D18" s="22" t="s">
        <v>45</v>
      </c>
      <c r="E18" s="22" t="s">
        <v>48</v>
      </c>
    </row>
    <row r="19" spans="2:8" x14ac:dyDescent="0.35">
      <c r="C19" s="22" t="s">
        <v>43</v>
      </c>
      <c r="D19" s="22" t="s">
        <v>46</v>
      </c>
      <c r="E19" s="22" t="s">
        <v>48</v>
      </c>
    </row>
    <row r="20" spans="2:8" x14ac:dyDescent="0.35">
      <c r="C20" s="22" t="s">
        <v>176</v>
      </c>
      <c r="D20" s="22" t="s">
        <v>45</v>
      </c>
      <c r="E20" s="22" t="s">
        <v>47</v>
      </c>
    </row>
    <row r="21" spans="2:8" x14ac:dyDescent="0.35">
      <c r="C21" s="22" t="s">
        <v>176</v>
      </c>
      <c r="D21" s="22" t="s">
        <v>45</v>
      </c>
      <c r="E21" s="22" t="s">
        <v>48</v>
      </c>
    </row>
    <row r="22" spans="2:8" x14ac:dyDescent="0.35">
      <c r="C22" s="22" t="s">
        <v>176</v>
      </c>
      <c r="D22" s="22" t="s">
        <v>46</v>
      </c>
      <c r="E22" s="22" t="s">
        <v>47</v>
      </c>
    </row>
    <row r="23" spans="2:8" x14ac:dyDescent="0.35">
      <c r="C23" s="22" t="s">
        <v>176</v>
      </c>
      <c r="D23" s="22" t="s">
        <v>46</v>
      </c>
      <c r="E23" s="22" t="s">
        <v>48</v>
      </c>
    </row>
    <row r="25" spans="2:8" x14ac:dyDescent="0.35">
      <c r="B25" t="s">
        <v>181</v>
      </c>
    </row>
    <row r="28" spans="2:8" x14ac:dyDescent="0.35">
      <c r="G28" t="s">
        <v>187</v>
      </c>
      <c r="H28" t="s">
        <v>188</v>
      </c>
    </row>
    <row r="29" spans="2:8" x14ac:dyDescent="0.35">
      <c r="G29" t="s">
        <v>182</v>
      </c>
      <c r="H29">
        <v>8</v>
      </c>
    </row>
    <row r="30" spans="2:8" x14ac:dyDescent="0.35">
      <c r="G30" t="s">
        <v>183</v>
      </c>
      <c r="H30">
        <v>8</v>
      </c>
    </row>
    <row r="31" spans="2:8" x14ac:dyDescent="0.35">
      <c r="G31" t="s">
        <v>184</v>
      </c>
      <c r="H31">
        <v>2</v>
      </c>
    </row>
    <row r="32" spans="2:8" x14ac:dyDescent="0.35">
      <c r="G32" t="s">
        <v>185</v>
      </c>
      <c r="H32">
        <v>4</v>
      </c>
    </row>
    <row r="33" spans="7:8" x14ac:dyDescent="0.35">
      <c r="G33" t="s">
        <v>186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G6" sqref="G6"/>
    </sheetView>
  </sheetViews>
  <sheetFormatPr defaultRowHeight="14.5" x14ac:dyDescent="0.35"/>
  <cols>
    <col min="3" max="3" width="35.453125" bestFit="1" customWidth="1"/>
    <col min="4" max="4" width="35.453125" customWidth="1"/>
    <col min="5" max="5" width="10.26953125" customWidth="1"/>
  </cols>
  <sheetData>
    <row r="2" spans="3:5" x14ac:dyDescent="0.35">
      <c r="C2" t="s">
        <v>191</v>
      </c>
    </row>
    <row r="4" spans="3:5" x14ac:dyDescent="0.35">
      <c r="C4" t="s">
        <v>189</v>
      </c>
      <c r="D4" t="s">
        <v>4</v>
      </c>
      <c r="E4" t="s">
        <v>190</v>
      </c>
    </row>
    <row r="5" spans="3:5" ht="29" x14ac:dyDescent="0.35">
      <c r="C5" t="str">
        <f>monday!C7</f>
        <v>GitHub Copilot UI Tour</v>
      </c>
      <c r="D5" s="2" t="s">
        <v>192</v>
      </c>
      <c r="E5">
        <v>1</v>
      </c>
    </row>
    <row r="6" spans="3:5" ht="43.5" x14ac:dyDescent="0.35">
      <c r="C6" t="str">
        <f>monday!C31</f>
        <v>Creating Instruction Files with Sessions</v>
      </c>
      <c r="D6" s="2" t="s">
        <v>193</v>
      </c>
      <c r="E6">
        <v>1</v>
      </c>
    </row>
    <row r="7" spans="3:5" ht="29" x14ac:dyDescent="0.35">
      <c r="C7" t="str">
        <f>tuesday!B17</f>
        <v>Code Explanation and Analysis</v>
      </c>
      <c r="D7" s="2" t="s">
        <v>192</v>
      </c>
      <c r="E7">
        <v>2</v>
      </c>
    </row>
    <row r="8" spans="3:5" ht="29" x14ac:dyDescent="0.35">
      <c r="C8" t="str">
        <f>wednesday!B11</f>
        <v>MCP (Model Context Protocol) Servers</v>
      </c>
      <c r="D8" s="2" t="s">
        <v>194</v>
      </c>
      <c r="E8">
        <v>2</v>
      </c>
    </row>
    <row r="9" spans="3:5" ht="29" x14ac:dyDescent="0.35">
      <c r="C9" t="str">
        <f>wednesday!B12</f>
        <v>Exercise: MCP Servers</v>
      </c>
      <c r="D9" s="2" t="s">
        <v>195</v>
      </c>
      <c r="E9">
        <v>2</v>
      </c>
    </row>
    <row r="10" spans="3:5" ht="29" x14ac:dyDescent="0.35">
      <c r="C10" t="s">
        <v>182</v>
      </c>
      <c r="D10" s="2" t="s">
        <v>196</v>
      </c>
      <c r="E10">
        <v>8</v>
      </c>
    </row>
    <row r="11" spans="3:5" ht="29" x14ac:dyDescent="0.35">
      <c r="C11" t="s">
        <v>183</v>
      </c>
      <c r="D11" s="2" t="s">
        <v>197</v>
      </c>
      <c r="E11">
        <v>8</v>
      </c>
    </row>
    <row r="12" spans="3:5" x14ac:dyDescent="0.3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2026-03-11T04:05:47Z</dcterms:modified>
</cp:coreProperties>
</file>