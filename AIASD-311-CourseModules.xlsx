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IASD\AI-Assisted-Software-Development-Course\"/>
    </mc:Choice>
  </mc:AlternateContent>
  <xr:revisionPtr revIDLastSave="0" documentId="13_ncr:1_{C60AE73D-C509-45D0-985A-0607DD9C36F3}" xr6:coauthVersionLast="47" xr6:coauthVersionMax="47" xr10:uidLastSave="{00000000-0000-0000-0000-000000000000}"/>
  <bookViews>
    <workbookView xWindow="-110" yWindow="-110" windowWidth="38620" windowHeight="21100" activeTab="2" xr2:uid="{88B4C266-A938-4700-99B3-B927BE83C57A}"/>
  </bookViews>
  <sheets>
    <sheet name="decks" sheetId="10" r:id="rId1"/>
    <sheet name="monday" sheetId="2" r:id="rId2"/>
    <sheet name="tuesday" sheetId="4" r:id="rId3"/>
    <sheet name="wednesday" sheetId="5" r:id="rId4"/>
    <sheet name="thursday" sheetId="6" r:id="rId5"/>
    <sheet name="friday" sheetId="7" r:id="rId6"/>
    <sheet name="totals" sheetId="8" r:id="rId7"/>
    <sheet name="GE Mod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0" l="1"/>
  <c r="D61" i="10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D16" i="10"/>
  <c r="D39" i="10"/>
  <c r="D59" i="10"/>
  <c r="D58" i="10"/>
  <c r="D57" i="10"/>
  <c r="D56" i="10"/>
  <c r="D53" i="10"/>
  <c r="D50" i="10"/>
  <c r="D49" i="10"/>
  <c r="D48" i="10"/>
  <c r="D46" i="10"/>
  <c r="D45" i="10"/>
  <c r="D44" i="10"/>
  <c r="D15" i="10"/>
  <c r="D43" i="10"/>
  <c r="D42" i="10"/>
  <c r="D41" i="10"/>
  <c r="D40" i="10"/>
  <c r="D38" i="10"/>
  <c r="D37" i="10"/>
  <c r="D14" i="10"/>
  <c r="D13" i="10"/>
  <c r="D12" i="10"/>
  <c r="D11" i="10"/>
  <c r="D10" i="10"/>
  <c r="D9" i="10"/>
  <c r="D8" i="10"/>
  <c r="D7" i="10"/>
  <c r="D35" i="10"/>
  <c r="D34" i="10"/>
  <c r="D33" i="10"/>
  <c r="D32" i="10"/>
  <c r="D6" i="10"/>
  <c r="D31" i="10"/>
  <c r="D30" i="10"/>
  <c r="D24" i="10"/>
  <c r="D29" i="10"/>
  <c r="D5" i="10"/>
  <c r="D28" i="10"/>
  <c r="D26" i="10"/>
  <c r="D25" i="10"/>
  <c r="D27" i="10"/>
  <c r="D23" i="10"/>
  <c r="D4" i="10"/>
  <c r="D22" i="10"/>
  <c r="D21" i="10"/>
  <c r="D20" i="10"/>
  <c r="D19" i="10"/>
  <c r="D18" i="10"/>
  <c r="D17" i="10"/>
  <c r="D60" i="10"/>
  <c r="D55" i="10"/>
  <c r="D54" i="10"/>
  <c r="D52" i="10"/>
  <c r="D51" i="10"/>
  <c r="D47" i="10"/>
  <c r="D36" i="10"/>
  <c r="E12" i="9"/>
  <c r="C9" i="9"/>
  <c r="C8" i="9"/>
  <c r="C7" i="9"/>
  <c r="C6" i="9"/>
  <c r="C5" i="9"/>
  <c r="I8" i="8"/>
  <c r="H8" i="8"/>
  <c r="G8" i="8"/>
  <c r="F8" i="8"/>
  <c r="E8" i="8"/>
  <c r="D8" i="8"/>
  <c r="C8" i="8"/>
  <c r="O23" i="7"/>
  <c r="N23" i="7"/>
  <c r="M23" i="7"/>
  <c r="L23" i="7"/>
  <c r="K23" i="7"/>
  <c r="J23" i="7"/>
  <c r="I23" i="7"/>
  <c r="I7" i="8"/>
  <c r="H7" i="8"/>
  <c r="G7" i="8"/>
  <c r="F7" i="8"/>
  <c r="E7" i="8"/>
  <c r="D7" i="8"/>
  <c r="C7" i="8"/>
  <c r="O16" i="6"/>
  <c r="N16" i="6"/>
  <c r="M16" i="6"/>
  <c r="L16" i="6"/>
  <c r="K16" i="6"/>
  <c r="J16" i="6"/>
  <c r="I16" i="6"/>
  <c r="I6" i="8"/>
  <c r="H6" i="8"/>
  <c r="G6" i="8"/>
  <c r="F6" i="8"/>
  <c r="E6" i="8"/>
  <c r="D6" i="8"/>
  <c r="C6" i="8"/>
  <c r="O13" i="5"/>
  <c r="N13" i="5"/>
  <c r="M13" i="5"/>
  <c r="L13" i="5"/>
  <c r="K13" i="5"/>
  <c r="J13" i="5"/>
  <c r="I13" i="5"/>
  <c r="I5" i="8"/>
  <c r="H5" i="8"/>
  <c r="G5" i="8"/>
  <c r="F5" i="8"/>
  <c r="E5" i="8"/>
  <c r="D5" i="8"/>
  <c r="C5" i="8"/>
  <c r="C4" i="8"/>
  <c r="D4" i="8"/>
  <c r="E4" i="8"/>
  <c r="F4" i="8"/>
  <c r="G4" i="8"/>
  <c r="H4" i="8"/>
  <c r="I4" i="8"/>
  <c r="O25" i="4"/>
  <c r="N25" i="4"/>
  <c r="M25" i="4"/>
  <c r="L25" i="4"/>
  <c r="K25" i="4"/>
  <c r="J25" i="4"/>
  <c r="I25" i="4"/>
  <c r="P31" i="2"/>
  <c r="O31" i="2"/>
  <c r="N31" i="2"/>
  <c r="M31" i="2"/>
  <c r="L31" i="2"/>
  <c r="K31" i="2"/>
  <c r="J31" i="2"/>
  <c r="H3" i="7"/>
  <c r="H3" i="6"/>
  <c r="H4" i="6" s="1"/>
  <c r="H5" i="6" s="1"/>
  <c r="H7" i="6" s="1"/>
  <c r="H8" i="6" s="1"/>
  <c r="H9" i="6" s="1"/>
  <c r="H10" i="6" s="1"/>
  <c r="H11" i="6" s="1"/>
  <c r="H12" i="6" s="1"/>
  <c r="H13" i="6" s="1"/>
  <c r="H14" i="6" s="1"/>
  <c r="H15" i="6" s="1"/>
  <c r="H3" i="5"/>
  <c r="H5" i="5" s="1"/>
  <c r="H7" i="5" s="1"/>
  <c r="H8" i="5" s="1"/>
  <c r="H9" i="5" s="1"/>
  <c r="H10" i="5" s="1"/>
  <c r="H11" i="5" s="1"/>
  <c r="H12" i="5" s="1"/>
  <c r="H3" i="4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H6" i="5" l="1"/>
  <c r="H4" i="5"/>
  <c r="H6" i="6"/>
  <c r="C9" i="8"/>
  <c r="H9" i="8"/>
  <c r="E9" i="8"/>
  <c r="F9" i="8"/>
  <c r="D9" i="8"/>
  <c r="G9" i="8"/>
  <c r="I9" i="8"/>
  <c r="H4" i="4"/>
  <c r="H5" i="4" s="1"/>
  <c r="H6" i="4" s="1"/>
  <c r="H7" i="4" s="1"/>
  <c r="H4" i="7"/>
  <c r="H5" i="7" s="1"/>
  <c r="H6" i="7" s="1"/>
  <c r="H7" i="7" s="1"/>
  <c r="H9" i="4" l="1"/>
  <c r="H8" i="4" s="1"/>
  <c r="H10" i="4" s="1"/>
  <c r="H9" i="7"/>
  <c r="H8" i="7"/>
  <c r="H11" i="4" l="1"/>
  <c r="H11" i="7"/>
  <c r="H12" i="7" s="1"/>
  <c r="H13" i="7" s="1"/>
  <c r="H10" i="7"/>
  <c r="H14" i="7" l="1"/>
  <c r="H15" i="7" s="1"/>
  <c r="H16" i="7" s="1"/>
  <c r="H17" i="7" s="1"/>
  <c r="H12" i="4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19" i="7" l="1"/>
  <c r="H20" i="7" s="1"/>
  <c r="H21" i="7" s="1"/>
  <c r="H22" i="7" s="1"/>
  <c r="H18" i="7"/>
</calcChain>
</file>

<file path=xl/sharedStrings.xml><?xml version="1.0" encoding="utf-8"?>
<sst xmlns="http://schemas.openxmlformats.org/spreadsheetml/2006/main" count="489" uniqueCount="374">
  <si>
    <t>CI/CD Pipeline Creation</t>
  </si>
  <si>
    <t>Topic</t>
  </si>
  <si>
    <t>Start Time</t>
  </si>
  <si>
    <t>Duration</t>
  </si>
  <si>
    <t>Description</t>
  </si>
  <si>
    <t>Introductions &amp; Welcome</t>
  </si>
  <si>
    <t>John Miller introduces himself, participants share backgrounds, AI experience, and learning goals</t>
  </si>
  <si>
    <t>How Large Language Models work - transformers, tokenization, training process</t>
  </si>
  <si>
    <t>Data privacy, IP protection, licensing models, enterprise policies</t>
  </si>
  <si>
    <t>GitHub Copilot UI Tour</t>
  </si>
  <si>
    <t>Model selection, premium quotas, extension configuration</t>
  </si>
  <si>
    <t>Unit testing setup, test coverage analysis, debugging</t>
  </si>
  <si>
    <t>Running coverage reports, iterative improvement strategies</t>
  </si>
  <si>
    <t>GitHub Actions YAML generation, build automation, coverage thresholds</t>
  </si>
  <si>
    <t>Pull Request Creation</t>
  </si>
  <si>
    <t>Creating PR via GitHub web interface</t>
  </si>
  <si>
    <t>Coverage Improvement Iteration</t>
  </si>
  <si>
    <t>Adding more tests, raising coverage percentage</t>
  </si>
  <si>
    <t>Test-Driven Development (TDD)</t>
  </si>
  <si>
    <t>Writing failing tests first, then implementing features</t>
  </si>
  <si>
    <t>Memory Feature Implementation</t>
  </si>
  <si>
    <t>Adding calculation history with TDD approach</t>
  </si>
  <si>
    <t>Log Command Feature</t>
  </si>
  <si>
    <t>Implementing command to list prior calculations</t>
  </si>
  <si>
    <t>Evergreen Code Concepts</t>
  </si>
  <si>
    <t>Maintaining code quality vs accruing technical debt</t>
  </si>
  <si>
    <t>Code Quality Analysis</t>
  </si>
  <si>
    <t>AI audit to identify technical debt and code quality issues</t>
  </si>
  <si>
    <t>10:00:00 AM</t>
  </si>
  <si>
    <t>Break</t>
  </si>
  <si>
    <t>AI-Assisted Development Philosophy</t>
  </si>
  <si>
    <t>Model Selection and Capabilities</t>
  </si>
  <si>
    <t>GitHub Copilot for Teams Key Considerations</t>
  </si>
  <si>
    <t>Repository and Tool Setup</t>
  </si>
  <si>
    <t>Safety Measures &amp; Best Practices</t>
  </si>
  <si>
    <t>Organizational vs. Repository Instruction Files</t>
  </si>
  <si>
    <t>Creating Instruction Files from Prompts</t>
  </si>
  <si>
    <t>Exercise: Technology Inventory &amp; Instruction Generation</t>
  </si>
  <si>
    <t>Core Instruction Files &amp; Provenance Tracking</t>
  </si>
  <si>
    <t>Copilot</t>
  </si>
  <si>
    <t>Claude</t>
  </si>
  <si>
    <t>Visual Studio</t>
  </si>
  <si>
    <t>VS Code</t>
  </si>
  <si>
    <t>GitHub</t>
  </si>
  <si>
    <t>AzDO</t>
  </si>
  <si>
    <t>Agnostic</t>
  </si>
  <si>
    <t>Welcome back, questions, agenda</t>
  </si>
  <si>
    <t>Managing Copilot &amp; Context</t>
  </si>
  <si>
    <t>VS Code Configuration Tips</t>
  </si>
  <si>
    <t>Documentation Generation</t>
  </si>
  <si>
    <t>Architecture Diagrams with Mermaid</t>
  </si>
  <si>
    <t>Code Explanation and Analysis</t>
  </si>
  <si>
    <t>Code Translation and Technical Hotspot Analysis</t>
  </si>
  <si>
    <t>Azure DevOps &amp; GitHub Copilot Extensions</t>
  </si>
  <si>
    <t>GitHub Copilot Pricing &amp; Licensing</t>
  </si>
  <si>
    <t>Building a Backlog - Technical Debt Identification</t>
  </si>
  <si>
    <t>Managing Instruction Files &amp; Context Windows</t>
  </si>
  <si>
    <t>Prioritization &amp; Issue Management</t>
  </si>
  <si>
    <t>Protecting Brownfield Code Bases</t>
  </si>
  <si>
    <t>Test Automation &amp; Code Quality</t>
  </si>
  <si>
    <t>Testing Frameworks</t>
  </si>
  <si>
    <t>Feature Flags and Test Suites</t>
  </si>
  <si>
    <t>Testing in Production</t>
  </si>
  <si>
    <t>Addressing Technical Debt</t>
  </si>
  <si>
    <t>AI Implementation Workflow</t>
  </si>
  <si>
    <t>Effective Prompts for Technical Debt</t>
  </si>
  <si>
    <t> Hands-On Exercise</t>
  </si>
  <si>
    <t>Multi-Implementation Comparison</t>
  </si>
  <si>
    <t>Copilot Instruction Files and Context Management</t>
  </si>
  <si>
    <t>MCP (Model Context Protocol) Servers</t>
  </si>
  <si>
    <t>Custom Agents</t>
  </si>
  <si>
    <t>Agent Best Practices</t>
  </si>
  <si>
    <t>Session Transition and Preview</t>
  </si>
  <si>
    <t xml:space="preserve">Business Requirements Generation Exercise </t>
  </si>
  <si>
    <t>Greenfield Development Workflow</t>
  </si>
  <si>
    <t>AI-Assisted Workflow Pattern</t>
  </si>
  <si>
    <t>Technology Stack Instruction Files</t>
  </si>
  <si>
    <t>Vertical Slicing Architecture Introduction</t>
  </si>
  <si>
    <t>Creating Vertical Slice Implementation Plans</t>
  </si>
  <si>
    <t>Implementation Prompts and Verification</t>
  </si>
  <si>
    <t>AI Practitioner Resources Overview</t>
  </si>
  <si>
    <t>AI-First Development Methodology</t>
  </si>
  <si>
    <t>Dependency Analysis and Planning</t>
  </si>
  <si>
    <t>Vertical Slice Implementation</t>
  </si>
  <si>
    <t>Pull Request and Code Review</t>
  </si>
  <si>
    <t>GitHub Code Review with Copilot</t>
  </si>
  <si>
    <t>GitHub CLI &amp; PR Management</t>
  </si>
  <si>
    <t>Adoption Strategy</t>
  </si>
  <si>
    <t>Instruction sharing strategies; Instruction file scope and application; Context window monitoring tools; Token consumption tracking</t>
  </si>
  <si>
    <t>Business vs. Enterprise license comparison; $19/month per user for business license; Organization-level instruction files access</t>
  </si>
  <si>
    <t>Custom keyboard shortcuts; Multi-command extension for Marp slides</t>
  </si>
  <si>
    <t>Creating inventory of project technologies; Background sessions for concurrent work; Generating multiple instruction files simultaneously; Session management interface</t>
  </si>
  <si>
    <t>Business/Enterprise tier capabilities; Path-scoped instruction files; Folder-level technology-specific rules</t>
  </si>
  <si>
    <t>Instruction files vs. prompt files vs. chat modes; Required Provenance Metadata; Validation checklists and quality gates; FDA guidance discussion for regulated industries; Conversation log structure and templates</t>
  </si>
  <si>
    <t>Context window limits and token management; Advanced techniques: Summaries, Chunking, Scoped Prompts, Instruction Files</t>
  </si>
  <si>
    <t>Feature flag removal strategies; Testing: Coverage vs. signal quality; Code review: Treat AI as "eager knowledgeable junior developer"; Change review workflows; Small change sets importance</t>
  </si>
  <si>
    <t>Compare outputs from different AI models; Understand when to use premium vs standard models; Monitor token usage</t>
  </si>
  <si>
    <t>Apply best practices learned in session; Review code quality systematically; Identify and fix issues</t>
  </si>
  <si>
    <t>Use Copilot to resolve dependency issues; Handle package restoration problems; Practice iterative problem-solving with AI</t>
  </si>
  <si>
    <t>Cloning course repository; GitHub authentication</t>
  </si>
  <si>
    <t>Phase 1: Without instruction files (baseline); Phase 2: With instruction files (comparison); Phase 3: Comparing differences</t>
  </si>
  <si>
    <t>Running generated prompt files; Inference as enabler; Prompt-first approach benefits; Version control for prompts</t>
  </si>
  <si>
    <t>Automatic README updates; Module-level documentation; API documentation with usage samples; Strategies for sync: Regular prompts, documentation instruction files</t>
  </si>
  <si>
    <t>Generating C4 diagrams from code; Component, container, and system context diagrams; Diagram types: Dependency graphs, data flow, deployment topologies; Mermaid rendering considerations</t>
  </si>
  <si>
    <t>Explaining unfamiliar code; Call chain mapping; Test coverage analysis; Gap identification and recommended tests</t>
  </si>
  <si>
    <t>Translating code between languages; Instruction compliance review; Scoped analysis for specific files/projects; Creating GitHub issues from findings</t>
  </si>
  <si>
    <t>Git DevOps extension; Copilot CLI extension for Azure DevOps pipelines; Pipeline automation and commit evaluation</t>
  </si>
  <si>
    <t>Create a GH Personal Access Token</t>
  </si>
  <si>
    <t>Fork Repository</t>
  </si>
  <si>
    <t>Forking brownfield demo repository; Repository exploration</t>
  </si>
  <si>
    <t>Creating GitHub personal access token; Environment variable configuration</t>
  </si>
  <si>
    <t>AI-assisted test generation (unit, integration, e2e, performance); Intelligent linting beyond static analysis; Coverage analysis and adequacy assessment; Automated quality gates; Continuous deployment strategies</t>
  </si>
  <si>
    <t>Key Practices: Prune obsolete tests, update with code changes, TDD with AI; Test Review: Detect missing assertions, redundant tests, edge cases; Critical Principle: Validate intent, not implementation; AI-Generated Tests: Create instruction files with test expectations; Trust Building: Use different models for analysis; Key Practices: Prune obsolete tests, update with code changes, TDD with AI; Test Review: Detect missing assertions, redundant tests, edge cases; Critical Principle: Validate intent, not implementation; AI-Generated Tests: Create instruction files with test expectations; Trust Building: Use different models for analysis</t>
  </si>
  <si>
    <t>As-Is Test Suites: Capture current behavior, protect regressions; To-Be Test Suites: Define future behavior, validate WIP features; Workflow: Feature flags around modifications, separate test strategies; Feature Flag Retirement: AI-assisted flag removal</t>
  </si>
  <si>
    <t>Shadow traffic and canary releases; Observability dashboards; Automated rollback with error budgets; Beta testing strategy; Database schema change challenges</t>
  </si>
  <si>
    <t>Skills</t>
  </si>
  <si>
    <t>Purpose: Add capabilities and data sources to Copilot; Architecture: Client, Server, Protocol, Resources, Tools; Available Servers: GitHub repos, databases, Terraform, Kubernetes, cloud providers; Finding Servers: VS Code gallery, modelcontextprotocol.io; Installation: Extension-based, token usage considerations (~128 tokens per server)</t>
  </si>
  <si>
    <t>Start simple, one agent per pain point; Define clear responsibilities; Restrict tools appropriately; Refine based on usage; Create org/enterprise agents for common tasks</t>
  </si>
  <si>
    <t>Security findings: Exposed secrets, missing HTTPS, no tests, no CI/CD; AI-assisted prioritization matrix; Technical debt visibility to organization; Low-effort, high-impact items first; Security findings: Exposed secrets, missing HTTPS, no tests, no CI/CD</t>
  </si>
  <si>
    <t>Best Practice: Request proposal first, don't execute immediately; Review proposed fix for completeness; Identify gaps before proceeding; Multi-tasking: Concurrent work with AI sessions</t>
  </si>
  <si>
    <t>Required Elements: Clear description, constraints, expected outcomes, test updates, documentation; GitHub Integration: Issue creation via Copilot, assigning to @copilot; Paid Feature: Copilot autonomous implementation (Enterprise/Pro Plus)</t>
  </si>
  <si>
    <t>Student implementation practice; Pull request workflow; GitHub Actions and workflow approvals; Troubleshooting: Workflow approvals, Copilot PR reviews</t>
  </si>
  <si>
    <t>AppliesTo Clause: Fine-grained control over file pattern matching; Scope Levels: Global, directory-specific, type-specific, repository-specific; Control Hierarchy: File context → Instruction matching → Chat mode → Prompt files → Manual references</t>
  </si>
  <si>
    <t>Custom tool for managing AI resources; GitHub Actions integration for gist storage; Risk scoring mechanism; Repository structure and artifact tracking</t>
  </si>
  <si>
    <t>Requirements-to-implementation process; Workflow components: MCP servers, agents, requirements, rules, instructions; Topics to cover: Requirements analysis, business rules, vertical slices</t>
  </si>
  <si>
    <t>Creating personal branches; Using product manager agent; Generating requirements document; Version control and branching strategy</t>
  </si>
  <si>
    <t>Phase 1 - Foundation: Core instructions, tech stack, coding standards, security; Phase 2 - Automation: Repeatable tasks, prompt files, templates; Phase 3 - Specialization: Domain expertise, custom chat modes; Phase 4 - Integration: Complex workflows, team standards, training; Continuous iteration and validation</t>
  </si>
  <si>
    <t>Stakeholders define requirements with AI; Transform into implementation structure files; Add tech stack instruction files; Review and approve instructions; Create prompts for implementation; Use vertical slicing with feature-based profiles; Execute and verify</t>
  </si>
  <si>
    <t>Creating instructions for HTML5, CSS3, vanilla JavaScript; Command-line prompt generation; Model differences (Claude Sonnet vs. GPT-4); Validation checklists; Multi-Model Evaluation: Different models reviewing each other's output</t>
  </si>
  <si>
    <t>Definition: Organize code by features, not layers; Characteristics: Self-contained, independent, spans all technical layers; File Structure: Features folder with sub-folders per feature; *CQRS Relationship**: Separate read/write stacks per feature</t>
  </si>
  <si>
    <t>Vertical slice planning instruction file review; Slice Identification Strategies: User actions, entity CRUD, workflow stages, business events, CQRS-optimized; Decomposition Principles: Single responsibility, complete vertical stack, no horizontal sharing; Generating implementation plans with AI; Multi-model evaluation exercise (Gemini reviewing Claude output)</t>
  </si>
  <si>
    <t>Creating slice-specific prompt files; Detailed specifications (HTML, CSS, JavaScript); Verification steps inclusion; Showcase/demonstration instructions; Building complete implementation roadmap; Version-controlled, reusable prompts</t>
  </si>
  <si>
    <t>AI-first approach definition; Prompt-first methodology; Tracking provenance of AI artifacts; Transparency in AI-assisted development; AI-first approach definition</t>
  </si>
  <si>
    <t>Reading dependency diagrams; Implementation sequencing; Critical path identification; Foundational vs. dependent features</t>
  </si>
  <si>
    <t>Setup: Selecting first slice, reviewing acceptance criteria; Issue Review: Comparing prompt to generated issue, scope verification; Live Coding: Using Copilot for generation, file organization; Manual Verification: Discussion of automation vs. manual steps; Key Focus: Automated testing over manual verification</t>
  </si>
  <si>
    <t>Creating PR with "slice-1" branch; Associating PRs with issues; Assigning human reviewers; Initiating GitHub Copilot code review; Addressing review comments</t>
  </si>
  <si>
    <t>PR Review: 8 comments identified; Findings: Unicode characters, state management, missing metadata, dead code, test gaps</t>
  </si>
  <si>
    <t>Default merge strategy discussion (squash vs. merge commit); GitHub settings navigation; Requesting Copilot code reviews via web interface; GitHub CLI commands for comment resolution; Personal access token permissions</t>
  </si>
  <si>
    <t>*Step 1 - Build Instruction Files: Core instructions, tech-specific, metadata requirements; Step 2 - Brownfield Analysis: Interrogate codebase, identify deviations, build backlog; Step 3 - Greenfield Setup: Core instructions, tech stack files, requirements, agents; Step 4 - Iterative Refinement: Review output, update instructions, validate improvements; Key Philosophy: Iterating on guardrails and prompts, not just code</t>
  </si>
  <si>
    <t>Large Language Models</t>
  </si>
  <si>
    <t>TBD</t>
  </si>
  <si>
    <t>Prompt Files</t>
  </si>
  <si>
    <t>Exercise: Building Custom Agents</t>
  </si>
  <si>
    <t>Building Custom Agents</t>
  </si>
  <si>
    <t>Exercise: Defining Skills</t>
  </si>
  <si>
    <t>Defining Skills</t>
  </si>
  <si>
    <t>Exercise: MCP Servers</t>
  </si>
  <si>
    <t>Monday</t>
  </si>
  <si>
    <t>DOW</t>
  </si>
  <si>
    <t>Tuesday</t>
  </si>
  <si>
    <t>Wednesday</t>
  </si>
  <si>
    <t>Thursday</t>
  </si>
  <si>
    <t>Friday</t>
  </si>
  <si>
    <t>To create a Claude+VS Code+GitHub version, 20 topics would need Claude specific versions.</t>
  </si>
  <si>
    <t>Other permutations are possible:</t>
  </si>
  <si>
    <t>To create a Copilot+VS+AzDO version, 19 topics would need VS and AzDO specific versions.</t>
  </si>
  <si>
    <t xml:space="preserve">The course is already tailored for VSCode+Copilot+GitHub and require few, if any changes. </t>
  </si>
  <si>
    <t>Claude Code</t>
  </si>
  <si>
    <t>AIA</t>
  </si>
  <si>
    <t>IDE</t>
  </si>
  <si>
    <t>SCC/WI/PR</t>
  </si>
  <si>
    <t>AI Assistant</t>
  </si>
  <si>
    <t>Once the Claude, Visual Studio, and AzDO specific content is created, building any of these permutations would be straight forward.</t>
  </si>
  <si>
    <t>MFC --&gt; WPF</t>
  </si>
  <si>
    <t>C++ --&gt; EF + SQL</t>
  </si>
  <si>
    <t>VS Code UI Tour</t>
  </si>
  <si>
    <t>Day 1 Mods</t>
  </si>
  <si>
    <t>Day 2 Mods</t>
  </si>
  <si>
    <t>Column1</t>
  </si>
  <si>
    <t>Column3</t>
  </si>
  <si>
    <t>Section</t>
  </si>
  <si>
    <t>Hours</t>
  </si>
  <si>
    <t>These are estimates for modifications requested by GE</t>
  </si>
  <si>
    <t>Create a Visual Studio version of this content</t>
  </si>
  <si>
    <t>Investigate support for this feature in Visual Studio and create a Visual Studio version of this content if it is</t>
  </si>
  <si>
    <t>Create content showing how to create a simple MCP server</t>
  </si>
  <si>
    <t>Create an exercise to create a simple MCP server</t>
  </si>
  <si>
    <t>Create slides and exercises for AI assisted dialog transformation</t>
  </si>
  <si>
    <t>Create slides and exercises for AI assisted SQL string to EF transformation</t>
  </si>
  <si>
    <t>Deck</t>
  </si>
  <si>
    <t>Column2</t>
  </si>
  <si>
    <t>Slide(s)</t>
  </si>
  <si>
    <t>1..4</t>
  </si>
  <si>
    <t>5..10</t>
  </si>
  <si>
    <t>Exercise: Calculator Project - Setup &amp; Basic Implementation</t>
  </si>
  <si>
    <t>Exercise: Calculator Project - Testing</t>
  </si>
  <si>
    <t>Exercise: Code Coverage Analysis</t>
  </si>
  <si>
    <t>Exercise: Dependency Management &amp; Troubleshooting</t>
  </si>
  <si>
    <t>Exercise: Best Practices Review &amp; Code Quality</t>
  </si>
  <si>
    <t>Exercise: Model Comparisons</t>
  </si>
  <si>
    <t>Hands-On with GitHub Copilot (VS Code)</t>
  </si>
  <si>
    <t>Vibe Coding</t>
  </si>
  <si>
    <t xml:space="preserve">Creating command-line calculator in C#, building, running: Clear / Reset, Decimal Input, Sign Toggle (+/–), Percentage, Memory Functions (M+, M–, MR, MC), Error Handling, Add Trigonometric Functions, UI, </t>
  </si>
  <si>
    <t>Slides</t>
  </si>
  <si>
    <t>Name</t>
  </si>
  <si>
    <t>_Hands-On with GitHub Copilot (VS Code).pptx</t>
  </si>
  <si>
    <t>_Repository and Tool Setup.pptx</t>
  </si>
  <si>
    <t>_The AI Revolution.pptx</t>
  </si>
  <si>
    <t>_Vibe Coding.pptx</t>
  </si>
  <si>
    <t>_Welcome and Introductions.pptx</t>
  </si>
  <si>
    <t>_Welcome-and-introductions.pptx</t>
  </si>
  <si>
    <t>Adding AI Guardrails.pptx</t>
  </si>
  <si>
    <t>whats-the-big-deal.pptx</t>
  </si>
  <si>
    <t>What's the Big Deal?</t>
  </si>
  <si>
    <t>3..16</t>
  </si>
  <si>
    <t>A Brief History; Natural Language; Intent</t>
  </si>
  <si>
    <t>_whats-the-big-deal.pptx</t>
  </si>
  <si>
    <t>What Defines Brownfield Code</t>
  </si>
  <si>
    <t xml:space="preserve">Why Codebases Degrade; Evergreen Philosophy; </t>
  </si>
  <si>
    <t>_What Defines Brownfield Code.pptx</t>
  </si>
  <si>
    <t>_What Are Vertical Slices.pptx</t>
  </si>
  <si>
    <t>_vscode-copilot-agents-overview.pptx</t>
  </si>
  <si>
    <t>_Test Automation &amp; Code Quality.pptx</t>
  </si>
  <si>
    <t>Conceptual Models; Object Role Models; Zeus.Academia.3b; Use Cases; Exercise: Generate Business Requirements; Exercise: Create Project Requirement; Exercise: Generate Business Requirements</t>
  </si>
  <si>
    <t>Starting with Project Requirements</t>
  </si>
  <si>
    <t>_Starting with Project Requirements.pptx</t>
  </si>
  <si>
    <t>Using Feature Flags; Using Feature Flags; As‑Is and To‑Be Test Suites; Testing in Production; Exercise: Implementing a Feature Flag</t>
  </si>
  <si>
    <t>_Safe Brownfield Coding.pptx</t>
  </si>
  <si>
    <t>What Are Prompt Files?; Structure; Use Cases; Best Practices</t>
  </si>
  <si>
    <t>_Prompt Files.pptx</t>
  </si>
  <si>
    <t xml:space="preserve">General Introduction to LLMs; Capabilities; Limitations; Do’s; Don’ts; LLM Architecture for Code Generation; Comparing LLMs for Code Generation; </t>
  </si>
  <si>
    <t>^Overview of LLMs.pptx</t>
  </si>
  <si>
    <t>Implementing Changes With Different AI Models; Comparing Approaches &amp; Outcomes; Risk Assessment &amp; Quality Evaluation; Best Practice Synthesis; Exercise: Prompt Multiple Models to Address Technical Debt; Exercise: Assigning an Issue to Multiple Models; Exercise: Delegating Work to Multiple Models</t>
  </si>
  <si>
    <t>Vibe Coding | Multi‑Model Implementation Comparison</t>
  </si>
  <si>
    <t>_Multi‑Model Implementation Comparison.pptx</t>
  </si>
  <si>
    <t xml:space="preserve">Public Leaderboards; Core Benchmarks; Surveys &amp; Deep‑Dive Research; Evaluation Frameworks; Selecting Models; </t>
  </si>
  <si>
    <t>_Model Selection &amp; Comparison.pptx</t>
  </si>
  <si>
    <t>^Mob.sh.pptx</t>
  </si>
  <si>
    <t>What is MCP?; MCP Architecture Overview; Installing Your First MCP Server; Copilot + MCP Integration; Popular MCP Servers to Use; Configuring Servers Securely; Getting Started: Your First Hour; Summary &amp; Key Takeaways</t>
  </si>
  <si>
    <t>_mcp-servers-vscode-copilot.pptx</t>
  </si>
  <si>
    <t>What is MCP?; MCP Architecture Overview; Installing Your First MCP Server; Copilot + MCP Integration; Popular MCP Servers to Use; Finding MCP Servers; Configuring Servers Securely; Exercise: Using MCP Servers</t>
  </si>
  <si>
    <t>_MCP Servers.pptx</t>
  </si>
  <si>
    <t xml:space="preserve">A Managed Junior Developer; Understanding Context &amp; Tokens; Prompt Engineering Best Practices; Model Selection Strategies; </t>
  </si>
  <si>
    <t>Instructions vs Prompts vs Custom Chat Modes</t>
  </si>
  <si>
    <t>_Managing GitHub Copilot Effectively.pptx</t>
  </si>
  <si>
    <t>_Instructions vs Prompts vs Custom Chat Modes.pptx</t>
  </si>
  <si>
    <t>implementing-vertical-slices</t>
  </si>
  <si>
    <t>Instruction Files</t>
  </si>
  <si>
    <t>What is applyTo?; Universal Application; File Extension Matching; Directory-Specific Patterns; Glob Pattern Syntax; Real-World Examples; Best Practices; Common Pitfalls; Testing Your Patterns; Pattern Matching Rules; Summary &amp; Best Practices; Resources &amp; Next Steps</t>
  </si>
  <si>
    <t>Instruction File Applyto Patterns</t>
  </si>
  <si>
    <t>_instruction-file-applyto-patterns.pptx</t>
  </si>
  <si>
    <t xml:space="preserve">What Are Instruction Files?; Instruction File Structure; Instruction Files: Use Cases; Instruction Files Best Practices; </t>
  </si>
  <si>
    <t>_Instruction Files.pptx</t>
  </si>
  <si>
    <t>What Are Vertical Slices?; Why Use Vertical Slices?; Core Principles of Vertical Slices; Feature Structure: Anatomy of a Slice; Implementation Order: Build Vertically; Code Example: The Command/Query; Code Example: The Handler (Core Logic); Code Example: Validation &amp; Controllers; Anti-Patterns: What NOT to Do; Testing Strategy for Vertical Slices; Best Practices Summary; Real-World Example: User Registration; Key Takeaways; Questions &amp; Discussion</t>
  </si>
  <si>
    <t>_implementing-vertical-slices.pptx</t>
  </si>
  <si>
    <t>^github-worktrees-guide-verbose.pptx</t>
  </si>
  <si>
    <t>^github-worktrees-guide-test.pptx</t>
  </si>
  <si>
    <t>^github-worktrees-guide-fixed.pptx</t>
  </si>
  <si>
    <t>^github-worktrees-guide.pptx</t>
  </si>
  <si>
    <t>^GitHubCopilotTrainingDay5MorningSessionCODEGroup_Teleflex.marp.pptx</t>
  </si>
  <si>
    <t>^GitHubCopilotTrainingDay5AfternoonSessionsCODEGroup_Teleflex.marp.pptx</t>
  </si>
  <si>
    <t>^GitHubCopilotTrainingDay4MorningSessionCODEGroup_Teleflex.marp.pptx</t>
  </si>
  <si>
    <t>^GitHubCopilotTrainingDay4AfternoonSessionCODEGroup_Teleflex.marp.pptx</t>
  </si>
  <si>
    <t>GitHub Copilot Chat Mode; Product Manager; Solution Architect; Senior Developer; Technical Writer; Security Reviewer; DevOps Engineer; DevTest Engineer; SRE; Key Success Patterns; Questions &amp; Discussion</t>
  </si>
  <si>
    <t>GitHub Copilot Chatmode Personas</t>
  </si>
  <si>
    <t>_github-copilot-chat-mode-personas.pptx</t>
  </si>
  <si>
    <t>Benefits for Organizations; Risks to Consider; Governance and Compliance Risks; IP and Data Protection; Licensing and Legal Considerations; Deployment Options; Best Practices for Safe Use; Resources</t>
  </si>
  <si>
    <t>_GitHub Copilot for Teams.pptx</t>
  </si>
  <si>
    <t>High Level AI Assisted Workflow</t>
  </si>
  <si>
    <t>_Getting Started Checklist.pptx</t>
  </si>
  <si>
    <t>Exercise: Running Implementation Prompts</t>
  </si>
  <si>
    <t>_Generating Implementation Prompts &amp; Verification.pptx</t>
  </si>
  <si>
    <t>^Fundementals-Agenda.pptx</t>
  </si>
  <si>
    <t>Backup &amp; Rollback Strategies; Confidence Frameworks; Change Review Processes; Incremental Change Methodology; Keeping Change Sets Small; Respecting Brownfield Code</t>
  </si>
  <si>
    <t>_Essential Safety Measures.pptx</t>
  </si>
  <si>
    <t>Automated README &amp; Documentation Updates; Architecture Diagram Generation; Complex Code Explanation &amp; Mapping; Identifying Technical Debt Hotspots; Exercise: Brownfield Code Documentation; Generate Development &amp; Deployment Guides; Create Architecture Diagrams; Update Project Documentation; Cross‑Validate With Multiple AI Models; Exercise: Identifying Code Outside the Guardrails</t>
  </si>
  <si>
    <t>_Documentation Generation &amp; Code Analysis.pptx</t>
  </si>
  <si>
    <t>What Are Custom Agents?; Where to Create Custom Agents; Creating on GitHub: Step-by-Step; Creating in VS Code; Agent Profile Structure; Example 1: Testing Specialist; Example 2: Implementation Planner; Using Custom Agents; Best Practices; Greenfield Chat Modes; Product Manager; Solution Architect; Senior Developer</t>
  </si>
  <si>
    <t>Definition: Specialized AI assistants with custom instructions; Recent Changes: Stored in `.github/agents/` with `.agent.md` extension; Storage Locations: Repository-level vs. user data folder (personal); Creating Agents: Via VS Code chat interface; Tool Restrictions: Limit capabilities for focused, safe behavior; Examples: Security analyzer (read/search only), test specialist, planner agent. What Are Custom Agents?; Where to Create Custom Agents; Creating on GitHub: Step-by-Step; Creating in VS Code; Agent Profile Structure; Example 1: Testing Specialist; Example 2: Implementation Planner; Using Custom Agents; Best Practices; Greenfield Chat Modes; Product Manager; Solution Architect; Senior Developer</t>
  </si>
  <si>
    <t>_Custom Agents.pptx</t>
  </si>
  <si>
    <t>Generating Comprehensive Test Suites; Managing Test Suites Over Time; Test Review &amp; Validation Strategies; Balancing Test Coverage with Maintainability; Exercise: Strengthening Your Testing Framework</t>
  </si>
  <si>
    <t>^Creating Robust Testing Frameworks.pptx</t>
  </si>
  <si>
    <t>What is CQRS?; When to Use CQRS; Core CQRS Principles; CQRS Architecture Components; Command Model Design; Query Model Design; Consistency Patterns; Consistency Patterns; Implementation Example; Best Practices &amp; Anti-Patterns; Migration to CQRS; Key Takeaways; Questions &amp; Discussion</t>
  </si>
  <si>
    <t>cqrs architecture</t>
  </si>
  <si>
    <t>_cqrs-architecture.pptx</t>
  </si>
  <si>
    <t>What Are They?; Purpose; Scope &amp; Control; How They Work Together; Key Takeaways</t>
  </si>
  <si>
    <t>_copilot-instruction-files-vs-prompt-files-vs-chatmodes.pptx</t>
  </si>
  <si>
    <t>The Core Concept; The applyTo Field: Pattern Matching; Prompt Files: Reference, Don’t Control; Chat Modes: Persona, Not Pattern Control; The Control Hierarchy; Practical Control Strategies; Real-World Examples; Key Takeaways; Questions &amp; Discussion</t>
  </si>
  <si>
    <t>Overview; The Instruction Stack; Where appliesTo Fits; How appliesTo Interacts with the Stack; Example: appliesTo in Action</t>
  </si>
  <si>
    <t>What is applyTo?; Universal Application; File Extension Matching; Directory-Specific Patterns; Glob Pattern Syntax; Real-World Examples; Best Practices; Common Pitfalls; Testing Your Patterns; Pattern Matching Rules; Summary &amp; Best Practices; Resources &amp; Next Steps; Overview; The Instruction Stack; Where appliesTo Fits; How appliesTo Interacts with the Stack; Example: appliesTo in Action</t>
  </si>
  <si>
    <t>Core Instructions; The Core Concept; Pattern Matching</t>
  </si>
  <si>
    <t>Core Instruction Files.pptx</t>
  </si>
  <si>
    <t>_Core Instruction Files.pptx</t>
  </si>
  <si>
    <t>_copilot instruction stack.pptx</t>
  </si>
  <si>
    <t>_copilot-instruction-control.pptx</t>
  </si>
  <si>
    <t>Comparing Implementations Against Instruction Files; Automated Issue Generation From Conformance Gaps; Prioritizing Technical Debt Remediation; Creating Actionable Remediation Plans; Exercise: Generate Issues to Make the Codebase Evergreen; Exercise: Create an Implementation Plan</t>
  </si>
  <si>
    <t>_Conformance &amp; Gap Analysis.pptx</t>
  </si>
  <si>
    <t>Predictability • Auditability • Determinism; What Copilot Looks For; What’s Changing and What Isn’t; Custom Chat Modes Best Practices</t>
  </si>
  <si>
    <t>^chat-mode.pptx</t>
  </si>
  <si>
    <t>Protecting Brownfield Codebases; Leveraging AI Code Reviews; Effective Human Code Reviews; The Role of Test Automation; Exercise: Building the Safety Nets</t>
  </si>
  <si>
    <t>Test suite importance; Avoid risky refactors; Fast deployment cycles; Feature flags for incomplete features; Incremental changes with well-isolated boundaries; Protecting Brownfield Codebases; Leveraging AI Code Reviews; Effective Human Code Reviews; The Role of Test Automation; Exercise: Building the Safety Nets</t>
  </si>
  <si>
    <t>_Building Safety Nets.pptx</t>
  </si>
  <si>
    <t>Identifying Technical Debt; Automating the Creation of GitHub Issues; Exercise: Building the Backlog</t>
  </si>
  <si>
    <t>What AI Can Identify: Outdated coding patterns; High complexity areas; Duplicate logic; Missing tests; Security vulnerabilities; Architectural drift; Exercise: Comprehensive backlog creation in ~1 hour; Prioritization: Impact vs. effort evaluation; Issue Creation: GitHub issues vs. Azure DevOps work items; Comparing Implementations Against Instruction Files; Automated Issue Generation From Conformance Gaps; Prioritizing Technical Debt Remediation; Creating Actionable Remediation Plans; Exercise: Generate Issues to Make the Codebase Evergreen; Exercise: Create an Implementation Plan; Identifying Technical Debt; Automating the Creation of GitHub Issues; Exercise: Building the Backlog</t>
  </si>
  <si>
    <t>_Building a Backlog.pptx</t>
  </si>
  <si>
    <t>Definitions; What Each Optimizes For; How They Treat Artifacts; Relationship Between the Two; Concrete Examples; Shortest Summary</t>
  </si>
  <si>
    <t>Why AI-assisted development matters, productivity gains, career impacts; Definitions; What Each Optimizes For; How They Treat Artifacts; Relationship Between the Two; Concrete Examples; Shortest Summary</t>
  </si>
  <si>
    <t>_ai-first-vs-prompt-first.pptx</t>
  </si>
  <si>
    <t>Instruction Files vs Prompt Files vs Custom Chat Modes; AI Development Approaches Overview; What Are Custom Chat Modes?; Custom Chat Mode Examples; Custom Chat Modes: Use Cases; Comparison Matrix; Execution Timeline; Decision Framework; Layered Integration Approach; Real-World Integration Example; Getting Started Checklist; Summary: Three Complementary Approaches; The Integration Advantage; Resources &amp; References; Questions &amp; Discussion</t>
  </si>
  <si>
    <t>What Are They?; Purpose; Scope &amp; Control; How They Work Together; Key Takeaways; The Core Concept; The applyTo Field: Pattern Matching; Prompt Files: Reference, Don’t Control; Chat Modes: Persona, Not Pattern Control; The Control Hierarchy; Practical Control Strategies; Real-World Examples; Key Takeaways; Questions &amp; Discussion; Instruction Files vs Prompt Files vs Custom Chat Modes; AI Development Approaches Overview; What Are Custom Chat Modes?; Custom Chat Mode Examples; Custom Chat Modes: Use Cases; Comparison Matrix; Execution Timeline; Decision Framework; Layered Integration Approach; Real-World Integration Example; Getting Started Checklist; Summary: Three Complementary Approaches; The Integration Advantage; Resources &amp; References; Questions &amp; Discussion</t>
  </si>
  <si>
    <t>_AI-Development-Approaches-Comparison.pptx</t>
  </si>
  <si>
    <t xml:space="preserve">AI Practitioner Resources </t>
  </si>
  <si>
    <t>_AI Practitioner Resources.pptx</t>
  </si>
  <si>
    <t>File &amp; Folder Mentions (# Syntax); Spaces &amp; Knowledge Bases Integration; Premium Usage Monitoring; Token Estimation &amp; Overflow Detection; Why Token Limits Matter; Silent Failure Modes; Technique: Summaries; Technique: Chunking; Technique: Scoped Prompts; Technique: Instruction Files</t>
  </si>
  <si>
    <t>_Advanced Context Techniques.pptx</t>
  </si>
  <si>
    <t>Prompting Copilot to Address Technical Debt; Assigning Issues to Copilot; What Copilot Does With Assigned Issues; Exercise: Prompt Copilot to Address Technical Debt; Exercise: Assigning an Issue to Copilot; Exercise: Delegating Work to Copilot</t>
  </si>
  <si>
    <t>Scenario: JWT secrets hardcoded in source control; Prompting Copilot to Address Technical Debt; Assigning Issues to Copilot; What Copilot Does With Assigned Issues; Exercise: Prompt Copilot to Address Technical Debt; Exercise: Assigning an Issue to Copilot; Exercise: Delegating Work to Copilot</t>
  </si>
  <si>
    <t>_Addressing Technical Debt.pptx</t>
  </si>
  <si>
    <t>Instructions, Prompts &amp; Agents; Creating Instruction, Prompt &amp; Agent Files; Meta Prompts; Instructions for Generating Artifacts; Enforcing Provenance for AI Artifacts; Exercise: Copy the Core Instructions; Instructions for AI Generated Artifacts; AI-Assisted Output Instructions; Required Provenance Metadata; Metadata Placement Policy; AI Chat Logging Workflow; Quality &amp; PR Checklist; Copilot Integration Requirements; Enforcement &amp; Remediation; Summary: Why This Matters; Core Instruction files; Exercise: Create a Prompt File</t>
  </si>
  <si>
    <t>Adding AI Guardrails</t>
  </si>
  <si>
    <t>welcome-to-aiasd.md; john-michael-miller-intro.md; about-code.md</t>
  </si>
  <si>
    <t>The AI Revolution</t>
  </si>
  <si>
    <t>Chat window, context management, inline suggestions, extensions; Exercise: Chat Management &amp; Workflow; Chat Organization; Context Preservation; Quick Chat Practice; Chat History Review</t>
  </si>
  <si>
    <t>instruction-file-applyto-patterns.pptx</t>
  </si>
  <si>
    <t>welcome-back.md</t>
  </si>
  <si>
    <t>copilot-pricing-licensing.md</t>
  </si>
  <si>
    <t>vscode-configuration-tips.md</t>
  </si>
  <si>
    <t>github-copilot-for-teams.md</t>
  </si>
  <si>
    <t>model-selection-and-comparison.pptx</t>
  </si>
  <si>
    <t>safe-brownfield-coding.md</t>
  </si>
  <si>
    <t>advanced-context-techniques.md</t>
  </si>
  <si>
    <t>ai-assisted-cicd-pipelines.md</t>
  </si>
  <si>
    <t>ai-assisted-github-pull-requests.md</t>
  </si>
  <si>
    <t>code-quality-analysis-exercise.md</t>
  </si>
  <si>
    <t>evergreen-software-core-principles.md</t>
  </si>
  <si>
    <t>organizational-vs-repository-instruction-files.md</t>
  </si>
  <si>
    <t>exercise-technology-inventory-instructions.md</t>
  </si>
  <si>
    <t>managing-github-copilot-effectively.md</t>
  </si>
  <si>
    <t>managing-instruction-files-context-windows.md</t>
  </si>
  <si>
    <t>testing-in-production.md</t>
  </si>
  <si>
    <t>creating-robust-testing-frameworks.md</t>
  </si>
  <si>
    <t>code-translation-technical-hotspot-analysis.md</t>
  </si>
  <si>
    <t>safety-measures-best-practices.md</t>
  </si>
  <si>
    <t>prompt-files.md</t>
  </si>
  <si>
    <t>Exercise: Creating Prompt Files</t>
  </si>
  <si>
    <t>exercise-creating-prompt-files.md</t>
  </si>
  <si>
    <t>creating-instruction-files-from-prompts.md</t>
  </si>
  <si>
    <t>documentation-generation-code-analysis.md</t>
  </si>
  <si>
    <t>exercise-c4-diagrams-from-code.md</t>
  </si>
  <si>
    <t>large-language-models.md</t>
  </si>
  <si>
    <t>code-explanation-and-analysis.md</t>
  </si>
  <si>
    <t>test-automation-and-code-quality.md; exercise-test-automation-quality.md</t>
  </si>
  <si>
    <t>feature-flags-and-test-suites.md</t>
  </si>
  <si>
    <t>ai-practitioner-resources.md</t>
  </si>
  <si>
    <t>ai-implementation-workflow.md</t>
  </si>
  <si>
    <t>effective-prompts-for-technical-debt.md</t>
  </si>
  <si>
    <t>conformance-and-gap-analysis.md; building-a-backlog.md</t>
  </si>
  <si>
    <t>issue-prioritization-management.md</t>
  </si>
  <si>
    <t>multi‑model-implementation-comparison.md</t>
  </si>
  <si>
    <t>addressing-technical-debt.md</t>
  </si>
  <si>
    <t>ai-first-development.md</t>
  </si>
  <si>
    <t>greenfield-development-workflow.md</t>
  </si>
  <si>
    <t>getting-started.md</t>
  </si>
  <si>
    <t>starting-with-requirements.md</t>
  </si>
  <si>
    <t>exercise-business-requirements-generation.md</t>
  </si>
  <si>
    <t>cqrs-architecture.md</t>
  </si>
  <si>
    <t>technology-stack-instruction-files.md</t>
  </si>
  <si>
    <t>vertical-slicing-architecture-introduction.md</t>
  </si>
  <si>
    <t>vertical-slice-implementation-plans.md</t>
  </si>
  <si>
    <t>dependency-analysis-planning.md</t>
  </si>
  <si>
    <t>implementation-prompts-verification.md</t>
  </si>
  <si>
    <t>github-code-review-with-copilot.md</t>
  </si>
  <si>
    <t>pull-request-code-review.md</t>
  </si>
  <si>
    <t>copilot-instruction-files-vs-prompt-files-vs-chatmodes.md; copilot-instruction-control.md; AI-Development-Approaches-Comparison.pptx</t>
  </si>
  <si>
    <t>custom-agents.md</t>
  </si>
  <si>
    <t>github-copilot-chat-mode-personas.md</t>
  </si>
  <si>
    <t>github-copilot-skills-practical-introduction.md</t>
  </si>
  <si>
    <t>custom-agent-best-practices.md</t>
  </si>
  <si>
    <t>mcp-model-context-protocol-servers.md</t>
  </si>
  <si>
    <t>exercise-create-and-use-custom-skill.md</t>
  </si>
  <si>
    <t>exercise-create-and-use-custom-agent.md</t>
  </si>
  <si>
    <t>understanding-legacy-code.md</t>
  </si>
  <si>
    <t>exercise-addressing-technical-debt-with-copilot.md</t>
  </si>
  <si>
    <t>implementation-with-vertical-slices.deck.md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</si>
</sst>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uble">
        <color theme="4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wrapText="1"/>
    </xf>
    <xf numFmtId="164" fontId="0" fillId="0" borderId="2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3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164" fontId="0" fillId="0" borderId="5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6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2" borderId="7" xfId="0" applyNumberFormat="1" applyFont="1" applyFill="1" applyBorder="1"/>
    <xf numFmtId="2" fontId="0" fillId="0" borderId="0" xfId="0" applyNumberFormat="1"/>
    <xf numFmtId="2" fontId="0" fillId="0" borderId="8" xfId="0" applyNumberFormat="1" applyBorder="1"/>
    <xf numFmtId="1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8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5" xfId="0" applyBorder="1" applyAlignment="1">
      <alignment wrapText="1"/>
    </xf>
    <xf numFmtId="0" fontId="3" fillId="3" borderId="0" xfId="1"/>
    <xf numFmtId="0" fontId="0" fillId="0" borderId="0" xfId="0" applyAlignment="1">
      <alignment horizontal="center"/>
    </xf>
  </cellXfs>
  <cellStyles count="2">
    <cellStyle name="Bad" xfId="1" builtinId="27"/>
    <cellStyle name="Normal" xfId="0" builtinId="0"/>
  </cellStyles>
  <dxfs count="124"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double">
          <color theme="4"/>
        </top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outline="0">
        <top style="double">
          <color theme="4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400]h:mm:ss\ AM/PM"/>
      <fill>
        <patternFill patternType="solid">
          <fgColor theme="4"/>
          <bgColor theme="4"/>
        </patternFill>
      </fill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[$-F400]h:mm:ss\ AM/PM"/>
    </dxf>
    <dxf>
      <numFmt numFmtId="164" formatCode="[$-F400]h:mm:ss\ AM/PM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954A70-1543-4974-9FF2-C47266E53D4A}" name="Table11" displayName="Table11" ref="C3:E62" totalsRowShown="0">
  <autoFilter ref="C3:E62" xr:uid="{FC954A70-1543-4974-9FF2-C47266E53D4A}"/>
  <sortState xmlns:xlrd2="http://schemas.microsoft.com/office/spreadsheetml/2017/richdata2" ref="C4:E60">
    <sortCondition ref="C3:C60"/>
  </sortState>
  <tableColumns count="3">
    <tableColumn id="1" xr3:uid="{64167D21-4C23-4B15-BA6B-D03D355F124D}" name="Name"/>
    <tableColumn id="2" xr3:uid="{B07EACE5-F752-4991-BE23-9BE11BB23286}" name="Column1">
      <calculatedColumnFormula>LOWER(Table11[[#This Row],[Name]])</calculatedColumnFormula>
    </tableColumn>
    <tableColumn id="3" xr3:uid="{B8942215-B69E-4093-A1A0-3CA4C76B06EE}" name="Column2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7F544-4367-4018-8DC9-81CA31EC2612}" name="monday" displayName="monday" ref="C2:P31" totalsRowCount="1">
  <autoFilter ref="C2:P30" xr:uid="{A2A7F544-4367-4018-8DC9-81CA31EC2612}"/>
  <tableColumns count="14">
    <tableColumn id="1" xr3:uid="{9D61239E-9B4A-4932-AB0D-EB9D9921B03D}" name="Topic"/>
    <tableColumn id="4" xr3:uid="{CF6246D8-1B6E-46F2-8EF3-564EEFD687CC}" name="Start Time" dataDxfId="123" totalsRowDxfId="122"/>
    <tableColumn id="5" xr3:uid="{8B6AF1D4-2216-4B85-BA7D-212BA502015B}" name="Duration"/>
    <tableColumn id="6" xr3:uid="{FC719AB4-7DA0-4CF0-A12A-95985F5C6D2E}" name="Description" dataDxfId="121"/>
    <tableColumn id="19" xr3:uid="{6CD3E0DC-278C-498A-A888-BE6341994574}" name="Deck"/>
    <tableColumn id="18" xr3:uid="{7E153D0B-3D6F-4A51-B6D2-9A0BE0E451DA}" name="Slide(s)"/>
    <tableColumn id="7" xr3:uid="{3FD97CAC-BAE8-4A66-B92F-17907FB235F2}" name="10:00:00 AM" dataDxfId="120" totalsRowDxfId="119">
      <calculatedColumnFormula>I2 + (E2/ 1440)</calculatedColumnFormula>
    </tableColumn>
    <tableColumn id="3" xr3:uid="{8F73E11B-57E7-46FD-9BC8-9F7C420BAC38}" name="Copilot" totalsRowFunction="custom" dataDxfId="118" totalsRowDxfId="117">
      <totalsRowFormula>COUNTIF(monday[Copilot],TRUE)</totalsRowFormula>
    </tableColumn>
    <tableColumn id="8" xr3:uid="{00BFAB92-E224-43B6-A531-DC61138A0CA0}" name="Claude" totalsRowFunction="custom" dataDxfId="116" totalsRowDxfId="115">
      <totalsRowFormula>COUNTIF(monday[Claude],TRUE)</totalsRowFormula>
    </tableColumn>
    <tableColumn id="9" xr3:uid="{B5C7E70A-4192-4A1A-BB50-152DBFD69377}" name="Visual Studio" totalsRowFunction="custom" dataDxfId="114" totalsRowDxfId="113">
      <totalsRowFormula>COUNTIF(monday[Visual Studio],TRUE)</totalsRowFormula>
    </tableColumn>
    <tableColumn id="10" xr3:uid="{BA3C10AA-29E4-463F-BAEF-8EB3E8945B13}" name="VS Code" totalsRowFunction="custom" dataDxfId="112" totalsRowDxfId="111">
      <totalsRowFormula>COUNTIF(monday[VS Code],TRUE)</totalsRowFormula>
    </tableColumn>
    <tableColumn id="11" xr3:uid="{F8980FA3-83DA-47C4-AFB7-6CF6A869D269}" name="GitHub" totalsRowFunction="custom" dataDxfId="110" totalsRowDxfId="109">
      <totalsRowFormula>COUNTIF(monday[GitHub],TRUE)</totalsRowFormula>
    </tableColumn>
    <tableColumn id="12" xr3:uid="{D8820A44-D6A6-42E2-B181-305F5EE9EEC3}" name="AzDO" totalsRowFunction="custom" dataDxfId="108" totalsRowDxfId="107">
      <totalsRowFormula>COUNTIF(monday[AzDO],TRUE)</totalsRowFormula>
    </tableColumn>
    <tableColumn id="13" xr3:uid="{14EF33C0-8AAA-4364-B51A-665DB2BE5F06}" name="Agnostic" totalsRowFunction="custom" dataDxfId="106" totalsRowDxfId="105">
      <totalsRowFormula>COUNTIF(monday[Agnostic],TRUE)</totalsRow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0B1945-1A22-4D91-B3FB-F5CFCB0BC598}" name="tuesday" displayName="tuesday" ref="B2:O25" totalsRowCount="1">
  <autoFilter ref="B2:O24" xr:uid="{A2A7F544-4367-4018-8DC9-81CA31EC2612}"/>
  <tableColumns count="14">
    <tableColumn id="1" xr3:uid="{A79E8443-E3FC-4A2C-83B2-0E581E8FF9B8}" name="Topic"/>
    <tableColumn id="4" xr3:uid="{74997477-BD6E-4263-B07D-B967AADDCC4B}" name="Start Time" dataDxfId="103" totalsRowDxfId="102"/>
    <tableColumn id="5" xr3:uid="{C37F49DC-8E37-4F56-B136-B64A492DADC4}" name="Duration"/>
    <tableColumn id="6" xr3:uid="{DF401DF3-0654-4023-93D4-9F6D3305611B}" name="Description" dataDxfId="101"/>
    <tableColumn id="14" xr3:uid="{BD249784-C12F-4B3B-8752-038CF2024DD9}" name="Deck"/>
    <tableColumn id="2" xr3:uid="{E7140FF5-BE1A-4956-A3E4-A572C8619336}" name="Slides"/>
    <tableColumn id="7" xr3:uid="{AC2B6381-3A66-4370-B6B2-C3E9DCB6FA43}" name="10:00:00 AM" dataDxfId="100" totalsRowDxfId="99">
      <calculatedColumnFormula>H2 + (D2/ 1440)</calculatedColumnFormula>
    </tableColumn>
    <tableColumn id="3" xr3:uid="{B16B187E-86E2-4252-8947-27912248E347}" name="Copilot" totalsRowFunction="custom" dataDxfId="98" totalsRowDxfId="97">
      <totalsRowFormula>COUNTIF(tuesday[Copilot],TRUE)</totalsRowFormula>
    </tableColumn>
    <tableColumn id="8" xr3:uid="{328999B8-FD8B-4839-8311-45FC5EB6D50E}" name="Claude" totalsRowFunction="custom" dataDxfId="96" totalsRowDxfId="95">
      <totalsRowFormula>COUNTIF(tuesday[Claude],TRUE)</totalsRowFormula>
    </tableColumn>
    <tableColumn id="9" xr3:uid="{34EA6EBA-9872-4064-B9A2-2F4F1923665B}" name="Visual Studio" totalsRowFunction="custom" dataDxfId="94" totalsRowDxfId="93">
      <totalsRowFormula>COUNTIF(tuesday[Visual Studio],TRUE)</totalsRowFormula>
    </tableColumn>
    <tableColumn id="10" xr3:uid="{A69DFCC9-26FD-4F9A-AE74-129C7FB342B4}" name="VS Code" totalsRowFunction="custom" dataDxfId="92" totalsRowDxfId="91">
      <totalsRowFormula>COUNTIF(tuesday[VS Code],TRUE)</totalsRowFormula>
    </tableColumn>
    <tableColumn id="11" xr3:uid="{A0474679-DF85-45F0-9952-0B19F3B91232}" name="GitHub" totalsRowFunction="custom" dataDxfId="90" totalsRowDxfId="89">
      <totalsRowFormula>COUNTIF(tuesday[GitHub],TRUE)</totalsRowFormula>
    </tableColumn>
    <tableColumn id="12" xr3:uid="{7CE7CEA0-1D58-4456-BEE3-FACC7BEBA621}" name="AzDO" totalsRowFunction="custom" dataDxfId="88" totalsRowDxfId="87">
      <totalsRowFormula>COUNTIF(tuesday[AzDO],TRUE)</totalsRowFormula>
    </tableColumn>
    <tableColumn id="13" xr3:uid="{1C626DD1-4625-488A-B7AC-16AA057A1A0F}" name="Agnostic" totalsRowFunction="custom" dataDxfId="86" totalsRowDxfId="85">
      <totalsRowFormula>COUNTIF(tuesday[Agnostic],TRUE)</totalsRow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104B27-3127-40A8-AA4C-4DFAEDC1CEAB}" name="wednesday" displayName="wednesday" ref="B2:O13" totalsRowCount="1">
  <autoFilter ref="B2:O12" xr:uid="{A2A7F544-4367-4018-8DC9-81CA31EC2612}"/>
  <tableColumns count="14">
    <tableColumn id="1" xr3:uid="{9E7625E1-2B56-4752-B6F8-BF1B9CB4F92C}" name="Topic"/>
    <tableColumn id="4" xr3:uid="{DC994249-3F03-42D7-9369-8492F63A3609}" name="Start Time" dataDxfId="84" totalsRowDxfId="83"/>
    <tableColumn id="5" xr3:uid="{78218F89-BD58-4DD6-9B0D-DCE1B0CA5E74}" name="Duration"/>
    <tableColumn id="6" xr3:uid="{9BF78A26-DFD1-4FA6-8A13-90E044BF9CF6}" name="Description" dataDxfId="82"/>
    <tableColumn id="14" xr3:uid="{2A17624B-AB55-4881-A9E9-C5F0EB76662A}" name="Deck" dataDxfId="81"/>
    <tableColumn id="2" xr3:uid="{06859EAF-BB57-49A2-83C0-AA6CD01CE733}" name="Slides"/>
    <tableColumn id="7" xr3:uid="{5CB8B7F0-73B0-4AB6-8CAD-73AAC7120336}" name="10:00:00 AM" dataDxfId="80" totalsRowDxfId="79">
      <calculatedColumnFormula>H2 + (D2/ 1440)</calculatedColumnFormula>
    </tableColumn>
    <tableColumn id="3" xr3:uid="{52C57E48-213E-4B1B-B6CB-F6F6B19597C6}" name="Copilot" totalsRowFunction="custom" dataDxfId="78" totalsRowDxfId="77">
      <totalsRowFormula>COUNTIF(wednesday[Copilot],TRUE)</totalsRowFormula>
    </tableColumn>
    <tableColumn id="8" xr3:uid="{0D5BA76C-D529-453A-9FAA-BF02D249B691}" name="Claude" totalsRowFunction="custom" dataDxfId="76" totalsRowDxfId="75">
      <totalsRowFormula>COUNTIF(wednesday[Claude],TRUE)</totalsRowFormula>
    </tableColumn>
    <tableColumn id="9" xr3:uid="{153E0A8B-602A-4078-A22C-AA416D599897}" name="Visual Studio" totalsRowFunction="custom" dataDxfId="74" totalsRowDxfId="73">
      <totalsRowFormula>COUNTIF(wednesday[Visual Studio],TRUE)</totalsRowFormula>
    </tableColumn>
    <tableColumn id="10" xr3:uid="{03C0F805-9CE7-4D2A-998E-1F7DD639C9BE}" name="VS Code" totalsRowFunction="custom" dataDxfId="72" totalsRowDxfId="71">
      <totalsRowFormula>COUNTIF(wednesday[VS Code],TRUE)</totalsRowFormula>
    </tableColumn>
    <tableColumn id="11" xr3:uid="{7C08E3F4-0D07-4067-8415-25B5EA773AA1}" name="GitHub" totalsRowFunction="custom" dataDxfId="70" totalsRowDxfId="69">
      <totalsRowFormula>COUNTIF(wednesday[GitHub],TRUE)</totalsRowFormula>
    </tableColumn>
    <tableColumn id="12" xr3:uid="{47D5B1A8-5588-43F5-8363-ACE644E9CB39}" name="AzDO" totalsRowFunction="custom" dataDxfId="68" totalsRowDxfId="67">
      <totalsRowFormula>COUNTIF(wednesday[AzDO],TRUE)</totalsRowFormula>
    </tableColumn>
    <tableColumn id="13" xr3:uid="{DB68B21D-4B3C-4D28-AA56-E23ED49750CA}" name="Agnostic" totalsRowFunction="custom" dataDxfId="66" totalsRowDxfId="65">
      <totalsRowFormula>COUNTIF(wednesday[Agnostic],TRUE)</totalsRow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737E76-1DCF-4974-AB3B-57ED6225C31E}" name="thursday" displayName="thursday" ref="B2:O16" totalsRowCount="1">
  <autoFilter ref="B2:O15" xr:uid="{A2A7F544-4367-4018-8DC9-81CA31EC2612}"/>
  <tableColumns count="14">
    <tableColumn id="1" xr3:uid="{D80C761D-4E7E-4D1A-862A-6769A723C40C}" name="Topic"/>
    <tableColumn id="4" xr3:uid="{7A86A47A-4F2B-4910-A4AF-BDDD69C8349B}" name="Start Time" dataDxfId="64" totalsRowDxfId="63"/>
    <tableColumn id="5" xr3:uid="{F640E5CE-B0CE-4586-AB64-2F877DC1D9FB}" name="Duration"/>
    <tableColumn id="6" xr3:uid="{2594D38F-32AB-4663-AE35-3BC8F9A7567A}" name="Description" dataDxfId="62"/>
    <tableColumn id="14" xr3:uid="{B8DD6DEA-7ABC-4794-9C00-21703D00F0B9}" name="Deck" dataDxfId="61"/>
    <tableColumn id="2" xr3:uid="{76D09C9B-F732-4E1C-945B-A497FD16EFDB}" name="Slides"/>
    <tableColumn id="7" xr3:uid="{A26CFC55-26C1-4F30-803D-BBF5981DFCA5}" name="10:00:00 AM" dataDxfId="60" totalsRowDxfId="59">
      <calculatedColumnFormula>H2 + (D2/ 1440)</calculatedColumnFormula>
    </tableColumn>
    <tableColumn id="3" xr3:uid="{040567B8-43A2-489E-A9CC-73859959BD5C}" name="Copilot" totalsRowFunction="custom" dataDxfId="58" totalsRowDxfId="57">
      <totalsRowFormula>COUNTIF(thursday[Copilot],TRUE)</totalsRowFormula>
    </tableColumn>
    <tableColumn id="8" xr3:uid="{8123314B-943D-472F-983B-8523B69999C0}" name="Claude" totalsRowFunction="custom" dataDxfId="56" totalsRowDxfId="55">
      <totalsRowFormula>COUNTIF(thursday[Claude],TRUE)</totalsRowFormula>
    </tableColumn>
    <tableColumn id="9" xr3:uid="{2498F0CF-6AFF-47E1-979B-DE081B427120}" name="Visual Studio" totalsRowFunction="custom" dataDxfId="54" totalsRowDxfId="53">
      <totalsRowFormula>COUNTIF(thursday[Visual Studio],TRUE)</totalsRowFormula>
    </tableColumn>
    <tableColumn id="10" xr3:uid="{913F6E6D-CD6B-4637-B962-BB89DDCA6740}" name="VS Code" totalsRowFunction="custom" dataDxfId="52" totalsRowDxfId="51">
      <totalsRowFormula>COUNTIF(thursday[VS Code],TRUE)</totalsRowFormula>
    </tableColumn>
    <tableColumn id="11" xr3:uid="{BC331ED4-BE71-4300-9771-6BE4E6F8E51C}" name="GitHub" totalsRowFunction="custom" dataDxfId="50" totalsRowDxfId="49">
      <totalsRowFormula>COUNTIF(thursday[GitHub],TRUE)</totalsRowFormula>
    </tableColumn>
    <tableColumn id="12" xr3:uid="{D1E8199D-E549-4A4D-AE32-B59854B704A5}" name="AzDO" totalsRowFunction="custom" dataDxfId="48" totalsRowDxfId="47">
      <totalsRowFormula>COUNTIF(thursday[AzDO],TRUE)</totalsRowFormula>
    </tableColumn>
    <tableColumn id="13" xr3:uid="{761C22D5-EF2F-4F87-9F85-B289C4EAFA34}" name="Agnostic" totalsRowFunction="custom" dataDxfId="46" totalsRowDxfId="45">
      <totalsRowFormula>COUNTIF(thursday[Agnostic],TRUE)</totalsRow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AA1501-B84A-474D-B2E1-AAA4E0FD1225}" name="friday" displayName="friday" ref="B2:O23" totalsRowCount="1">
  <autoFilter ref="B2:O22" xr:uid="{A2A7F544-4367-4018-8DC9-81CA31EC2612}"/>
  <tableColumns count="14">
    <tableColumn id="1" xr3:uid="{26906033-DBB1-4850-8A65-B0AABB8EB5B7}" name="Topic"/>
    <tableColumn id="4" xr3:uid="{BDBF7E0D-1B9B-4EA6-8393-3A73A6DB40AA}" name="Start Time" dataDxfId="18" totalsRowDxfId="8"/>
    <tableColumn id="5" xr3:uid="{B474477F-00C6-4EE7-A8CC-63E5347553DE}" name="Duration"/>
    <tableColumn id="6" xr3:uid="{0AB30286-B74F-4E70-B4F1-CBD65236A925}" name="Description" dataDxfId="17"/>
    <tableColumn id="14" xr3:uid="{DF3B0E26-BDAD-42AF-AA94-ECF071ABBC93}" name="Deck"/>
    <tableColumn id="2" xr3:uid="{FDADF079-31AD-4240-B382-130BDA5B792F}" name="Slides"/>
    <tableColumn id="7" xr3:uid="{17FCC81E-88B4-40C8-ABC1-B8AD7F02B4EA}" name="10:00:00 AM" dataDxfId="16" totalsRowDxfId="7">
      <calculatedColumnFormula>H2 + (D2/ 1440)</calculatedColumnFormula>
    </tableColumn>
    <tableColumn id="3" xr3:uid="{E3F3161D-9131-432E-959B-E6F0A1281AC5}" name="Copilot" totalsRowFunction="custom" dataDxfId="15" totalsRowDxfId="6">
      <totalsRowFormula>COUNTIF(friday[Copilot],TRUE)</totalsRowFormula>
    </tableColumn>
    <tableColumn id="8" xr3:uid="{4141EF85-371E-4375-8C00-1C37E83D6E69}" name="Claude" totalsRowFunction="custom" dataDxfId="14" totalsRowDxfId="5">
      <totalsRowFormula>COUNTIF(friday[Claude],TRUE)</totalsRowFormula>
    </tableColumn>
    <tableColumn id="9" xr3:uid="{9E14D6DD-E032-4528-9C0C-58B736CC7A80}" name="Visual Studio" totalsRowFunction="custom" dataDxfId="13" totalsRowDxfId="4">
      <totalsRowFormula>COUNTIF(friday[Visual Studio],TRUE)</totalsRowFormula>
    </tableColumn>
    <tableColumn id="10" xr3:uid="{8F46D2CC-5CBC-48F4-9A4B-3CC4AEAEB311}" name="VS Code" totalsRowFunction="custom" dataDxfId="12" totalsRowDxfId="3">
      <totalsRowFormula>COUNTIF(friday[VS Code],TRUE)</totalsRowFormula>
    </tableColumn>
    <tableColumn id="11" xr3:uid="{D81D028C-428B-4074-8804-73407B951898}" name="GitHub" totalsRowFunction="custom" dataDxfId="11" totalsRowDxfId="2">
      <totalsRowFormula>COUNTIF(friday[GitHub],TRUE)</totalsRowFormula>
    </tableColumn>
    <tableColumn id="12" xr3:uid="{4FF24485-BCF2-4202-B4EF-7AD6E0292975}" name="AzDO" totalsRowFunction="custom" dataDxfId="10" totalsRowDxfId="1">
      <totalsRowFormula>COUNTIF(friday[AzDO],TRUE)</totalsRowFormula>
    </tableColumn>
    <tableColumn id="13" xr3:uid="{EF5A8DFC-6137-42BC-B9EE-012CF110EF5A}" name="Agnostic" totalsRowFunction="custom" dataDxfId="9" totalsRowDxfId="0">
      <totalsRowFormula>COUNTIF(friday[Agnostic],TRUE)</totalsRow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215E2-9049-4E20-81CC-83A554BF1101}" name="Totals" displayName="Totals" ref="B3:I9" totalsRowCount="1" headerRowDxfId="44" dataDxfId="42" headerRowBorderDxfId="43" tableBorderDxfId="41" totalsRowBorderDxfId="40">
  <autoFilter ref="B3:I8" xr:uid="{7BE215E2-9049-4E20-81CC-83A554BF1101}"/>
  <tableColumns count="8">
    <tableColumn id="8" xr3:uid="{C90FAB4F-EDD1-47CD-AEF9-BF085C892241}" name="DOW" dataDxfId="39" totalsRowDxfId="38"/>
    <tableColumn id="1" xr3:uid="{0B80151C-6332-4045-885D-4147B93941CE}" name="Copilot" totalsRowFunction="custom" dataDxfId="37" totalsRowDxfId="36">
      <calculatedColumnFormula>COUNTIF(monday[Copilot],TRUE)</calculatedColumnFormula>
      <totalsRowFormula>SUM(Totals[Copilot])</totalsRowFormula>
    </tableColumn>
    <tableColumn id="2" xr3:uid="{C4207A88-8986-426B-BC78-867B36106C7E}" name="Claude" totalsRowFunction="custom" dataDxfId="35" totalsRowDxfId="34">
      <calculatedColumnFormula>COUNTIF(monday[Claude],TRUE)</calculatedColumnFormula>
      <totalsRowFormula>SUM(Totals[Claude])</totalsRowFormula>
    </tableColumn>
    <tableColumn id="3" xr3:uid="{55899575-AD3C-46F5-A917-21CD0BF2F3C2}" name="Visual Studio" totalsRowFunction="custom" dataDxfId="33" totalsRowDxfId="32">
      <calculatedColumnFormula>COUNTIF(monday[Visual Studio],TRUE)</calculatedColumnFormula>
      <totalsRowFormula>SUM(Totals[Visual Studio])</totalsRowFormula>
    </tableColumn>
    <tableColumn id="4" xr3:uid="{5E38F5FE-B835-4536-AEC2-9829AF391F08}" name="VS Code" totalsRowFunction="custom" dataDxfId="31" totalsRowDxfId="30">
      <calculatedColumnFormula>COUNTIF(monday[VS Code],TRUE)</calculatedColumnFormula>
      <totalsRowFormula>SUM(Totals[VS Code])</totalsRowFormula>
    </tableColumn>
    <tableColumn id="5" xr3:uid="{56DCFF07-860C-45E3-B43E-A327A8EAFDBD}" name="GitHub" totalsRowFunction="custom" dataDxfId="29" totalsRowDxfId="28">
      <calculatedColumnFormula>COUNTIF(monday[GitHub],TRUE)</calculatedColumnFormula>
      <totalsRowFormula>SUM(Totals[GitHub])</totalsRowFormula>
    </tableColumn>
    <tableColumn id="6" xr3:uid="{F5088BF5-0F50-4520-95EA-55D8BA949BE7}" name="AzDO" totalsRowFunction="custom" dataDxfId="27" totalsRowDxfId="26">
      <calculatedColumnFormula>COUNTIF(monday[AzDO],TRUE)</calculatedColumnFormula>
      <totalsRowFormula>SUM(Totals[AzDO])</totalsRowFormula>
    </tableColumn>
    <tableColumn id="7" xr3:uid="{252AD14A-47C2-48BC-8B33-8D3A247588EF}" name="Agnostic" totalsRowFunction="custom" dataDxfId="25" totalsRowDxfId="24">
      <calculatedColumnFormula>COUNTIF(monday[Agnostic],TRUE)</calculatedColumnFormula>
      <totalsRowFormula>SUM(Totals[Agnostic])</totalsRow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2E96BC-0A44-4EB1-8D25-1D93E5F52B1A}" name="Table3" displayName="Table3" ref="C16:E23" totalsRowShown="0" headerRowDxfId="23">
  <autoFilter ref="C16:E23" xr:uid="{912E96BC-0A44-4EB1-8D25-1D93E5F52B1A}"/>
  <tableColumns count="3">
    <tableColumn id="1" xr3:uid="{591572D6-A8EA-493D-8473-133E4763BB61}" name="AIA" dataDxfId="22"/>
    <tableColumn id="2" xr3:uid="{34DA7748-7B6D-4305-8183-2EF0146134B7}" name="IDE" dataDxfId="21"/>
    <tableColumn id="3" xr3:uid="{F11CA94F-DD1D-4587-93E7-6E32450B9602}" name="SCC/WI/PR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A5629B-B8CE-4BC6-BAD3-F09212A4A15E}" name="Table8" displayName="Table8" ref="G28:H33" totalsRowShown="0">
  <autoFilter ref="G28:H33" xr:uid="{57A5629B-B8CE-4BC6-BAD3-F09212A4A15E}"/>
  <tableColumns count="2">
    <tableColumn id="1" xr3:uid="{97340A0D-C519-465F-8671-FEEA6666F503}" name="Column1"/>
    <tableColumn id="3" xr3:uid="{B9786568-43CB-4AB0-8E09-6868576B0452}" name="Column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1BA374-5AD9-4719-9FF3-682D1B38151C}" name="Table9" displayName="Table9" ref="C4:E12" totalsRowCount="1">
  <autoFilter ref="C4:E11" xr:uid="{EF1BA374-5AD9-4719-9FF3-682D1B38151C}"/>
  <tableColumns count="3">
    <tableColumn id="1" xr3:uid="{7AD14052-080E-4E37-8C5E-B2CB6B097298}" name="Section"/>
    <tableColumn id="3" xr3:uid="{8BA51BD4-A9EE-4BB2-B57E-B34801A8AD27}" name="Description" dataDxfId="19"/>
    <tableColumn id="2" xr3:uid="{3E1642EC-6329-4B91-8040-267B6F5F8CED}" name="Hours" totalsRowFunction="custom">
      <totalsRowFormula>SUM(Table9[Hours])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F954-FF19-4C47-AD82-6E7FB7023B19}">
  <dimension ref="C3:E62"/>
  <sheetViews>
    <sheetView topLeftCell="B59" workbookViewId="0">
      <selection activeCell="C59" sqref="C59"/>
    </sheetView>
  </sheetViews>
  <sheetFormatPr defaultRowHeight="14.25" x14ac:dyDescent="0.45"/>
  <cols>
    <col min="3" max="3" width="64.53125" bestFit="1" customWidth="1"/>
    <col min="4" max="4" width="61.265625" bestFit="1" customWidth="1"/>
    <col min="5" max="5" width="44.796875" customWidth="1"/>
  </cols>
  <sheetData>
    <row r="3" spans="3:5" x14ac:dyDescent="0.45">
      <c r="C3" t="s">
        <v>194</v>
      </c>
      <c r="D3" t="s">
        <v>168</v>
      </c>
      <c r="E3" t="s">
        <v>180</v>
      </c>
    </row>
    <row r="4" spans="3:5" ht="42.75" x14ac:dyDescent="0.45">
      <c r="C4" t="s">
        <v>288</v>
      </c>
      <c r="D4" t="str">
        <f>LOWER(Table11[[#This Row],[Name]])</f>
        <v>^chat-mode.pptx</v>
      </c>
      <c r="E4" s="2" t="s">
        <v>287</v>
      </c>
    </row>
    <row r="5" spans="3:5" ht="57" x14ac:dyDescent="0.45">
      <c r="C5" t="s">
        <v>271</v>
      </c>
      <c r="D5" t="str">
        <f>LOWER(Table11[[#This Row],[Name]])</f>
        <v>^creating robust testing frameworks.pptx</v>
      </c>
      <c r="E5" s="2" t="s">
        <v>270</v>
      </c>
    </row>
    <row r="6" spans="3:5" x14ac:dyDescent="0.45">
      <c r="C6" t="s">
        <v>262</v>
      </c>
      <c r="D6" t="str">
        <f>LOWER(Table11[[#This Row],[Name]])</f>
        <v>^fundementals-agenda.pptx</v>
      </c>
      <c r="E6" s="2"/>
    </row>
    <row r="7" spans="3:5" x14ac:dyDescent="0.45">
      <c r="C7" t="s">
        <v>252</v>
      </c>
      <c r="D7" t="str">
        <f>LOWER(Table11[[#This Row],[Name]])</f>
        <v>^githubcopilottrainingday4afternoonsessioncodegroup_teleflex.marp.pptx</v>
      </c>
      <c r="E7" s="2"/>
    </row>
    <row r="8" spans="3:5" x14ac:dyDescent="0.45">
      <c r="C8" t="s">
        <v>251</v>
      </c>
      <c r="D8" t="str">
        <f>LOWER(Table11[[#This Row],[Name]])</f>
        <v>^githubcopilottrainingday4morningsessioncodegroup_teleflex.marp.pptx</v>
      </c>
      <c r="E8" s="2"/>
    </row>
    <row r="9" spans="3:5" x14ac:dyDescent="0.45">
      <c r="C9" t="s">
        <v>250</v>
      </c>
      <c r="D9" t="str">
        <f>LOWER(Table11[[#This Row],[Name]])</f>
        <v>^githubcopilottrainingday5afternoonsessionscodegroup_teleflex.marp.pptx</v>
      </c>
      <c r="E9" s="2"/>
    </row>
    <row r="10" spans="3:5" x14ac:dyDescent="0.45">
      <c r="C10" t="s">
        <v>249</v>
      </c>
      <c r="D10" t="str">
        <f>LOWER(Table11[[#This Row],[Name]])</f>
        <v>^githubcopilottrainingday5morningsessioncodegroup_teleflex.marp.pptx</v>
      </c>
      <c r="E10" s="2"/>
    </row>
    <row r="11" spans="3:5" x14ac:dyDescent="0.45">
      <c r="C11" t="s">
        <v>248</v>
      </c>
      <c r="D11" t="str">
        <f>LOWER(Table11[[#This Row],[Name]])</f>
        <v>^github-worktrees-guide.pptx</v>
      </c>
      <c r="E11" s="2"/>
    </row>
    <row r="12" spans="3:5" x14ac:dyDescent="0.45">
      <c r="C12" t="s">
        <v>247</v>
      </c>
      <c r="D12" t="str">
        <f>LOWER(Table11[[#This Row],[Name]])</f>
        <v>^github-worktrees-guide-fixed.pptx</v>
      </c>
      <c r="E12" s="2"/>
    </row>
    <row r="13" spans="3:5" x14ac:dyDescent="0.45">
      <c r="C13" t="s">
        <v>246</v>
      </c>
      <c r="D13" t="str">
        <f>LOWER(Table11[[#This Row],[Name]])</f>
        <v>^github-worktrees-guide-test.pptx</v>
      </c>
      <c r="E13" s="2"/>
    </row>
    <row r="14" spans="3:5" x14ac:dyDescent="0.45">
      <c r="C14" t="s">
        <v>245</v>
      </c>
      <c r="D14" t="str">
        <f>LOWER(Table11[[#This Row],[Name]])</f>
        <v>^github-worktrees-guide-verbose.pptx</v>
      </c>
      <c r="E14" s="2"/>
    </row>
    <row r="15" spans="3:5" x14ac:dyDescent="0.45">
      <c r="C15" t="s">
        <v>227</v>
      </c>
      <c r="D15" t="str">
        <f>LOWER(Table11[[#This Row],[Name]])</f>
        <v>^mob.sh.pptx</v>
      </c>
      <c r="E15" s="2"/>
    </row>
    <row r="16" spans="3:5" ht="42.75" x14ac:dyDescent="0.45">
      <c r="C16" t="s">
        <v>221</v>
      </c>
      <c r="D16" t="str">
        <f>LOWER(Table11[[#This Row],[Name]])</f>
        <v>^overview of llms.pptx</v>
      </c>
      <c r="E16" s="2" t="s">
        <v>220</v>
      </c>
    </row>
    <row r="17" spans="3:5" ht="85.5" x14ac:dyDescent="0.45">
      <c r="C17" t="s">
        <v>304</v>
      </c>
      <c r="D17" t="str">
        <f>LOWER(Table11[[#This Row],[Name]])</f>
        <v>_advanced context techniques.pptx</v>
      </c>
      <c r="E17" s="2" t="s">
        <v>303</v>
      </c>
    </row>
    <row r="18" spans="3:5" x14ac:dyDescent="0.45">
      <c r="C18" t="s">
        <v>302</v>
      </c>
      <c r="D18" t="str">
        <f>LOWER(Table11[[#This Row],[Name]])</f>
        <v>_ai practitioner resources.pptx</v>
      </c>
      <c r="E18" s="2" t="s">
        <v>301</v>
      </c>
    </row>
    <row r="19" spans="3:5" ht="128.25" x14ac:dyDescent="0.45">
      <c r="C19" t="s">
        <v>300</v>
      </c>
      <c r="D19" t="str">
        <f>LOWER(Table11[[#This Row],[Name]])</f>
        <v>_ai-development-approaches-comparison.pptx</v>
      </c>
      <c r="E19" s="2" t="s">
        <v>298</v>
      </c>
    </row>
    <row r="20" spans="3:5" ht="42.75" x14ac:dyDescent="0.45">
      <c r="C20" t="s">
        <v>297</v>
      </c>
      <c r="D20" t="str">
        <f>LOWER(Table11[[#This Row],[Name]])</f>
        <v>_ai-first-vs-prompt-first.pptx</v>
      </c>
      <c r="E20" s="2" t="s">
        <v>295</v>
      </c>
    </row>
    <row r="21" spans="3:5" ht="28.5" x14ac:dyDescent="0.45">
      <c r="C21" t="s">
        <v>294</v>
      </c>
      <c r="D21" t="str">
        <f>LOWER(Table11[[#This Row],[Name]])</f>
        <v>_building a backlog.pptx</v>
      </c>
      <c r="E21" s="2" t="s">
        <v>292</v>
      </c>
    </row>
    <row r="22" spans="3:5" ht="42.75" x14ac:dyDescent="0.45">
      <c r="C22" t="s">
        <v>291</v>
      </c>
      <c r="D22" t="str">
        <f>LOWER(Table11[[#This Row],[Name]])</f>
        <v>_building safety nets.pptx</v>
      </c>
      <c r="E22" s="2" t="s">
        <v>289</v>
      </c>
    </row>
    <row r="23" spans="3:5" ht="85.5" x14ac:dyDescent="0.45">
      <c r="C23" t="s">
        <v>286</v>
      </c>
      <c r="D23" t="str">
        <f>LOWER(Table11[[#This Row],[Name]])</f>
        <v>_conformance &amp; gap analysis.pptx</v>
      </c>
      <c r="E23" s="2" t="s">
        <v>285</v>
      </c>
    </row>
    <row r="24" spans="3:5" ht="42.75" x14ac:dyDescent="0.45">
      <c r="C24" t="s">
        <v>283</v>
      </c>
      <c r="D24" t="str">
        <f>LOWER(Table11[[#This Row],[Name]])</f>
        <v>_copilot instruction stack.pptx</v>
      </c>
      <c r="E24" s="2" t="s">
        <v>278</v>
      </c>
    </row>
    <row r="25" spans="3:5" ht="71.25" x14ac:dyDescent="0.45">
      <c r="C25" t="s">
        <v>284</v>
      </c>
      <c r="D25" t="str">
        <f>LOWER(Table11[[#This Row],[Name]])</f>
        <v>_copilot-instruction-control.pptx</v>
      </c>
      <c r="E25" s="2" t="s">
        <v>277</v>
      </c>
    </row>
    <row r="26" spans="3:5" ht="28.5" x14ac:dyDescent="0.45">
      <c r="C26" t="s">
        <v>276</v>
      </c>
      <c r="D26" t="str">
        <f>LOWER(Table11[[#This Row],[Name]])</f>
        <v>_copilot-instruction-files-vs-prompt-files-vs-chatmodes.pptx</v>
      </c>
      <c r="E26" s="2" t="s">
        <v>275</v>
      </c>
    </row>
    <row r="27" spans="3:5" x14ac:dyDescent="0.45">
      <c r="C27" t="s">
        <v>282</v>
      </c>
      <c r="D27" t="str">
        <f>LOWER(Table11[[#This Row],[Name]])</f>
        <v>_core instruction files.pptx</v>
      </c>
      <c r="E27" s="2" t="s">
        <v>280</v>
      </c>
    </row>
    <row r="28" spans="3:5" ht="85.5" x14ac:dyDescent="0.45">
      <c r="C28" t="s">
        <v>274</v>
      </c>
      <c r="D28" t="str">
        <f>LOWER(Table11[[#This Row],[Name]])</f>
        <v>_cqrs-architecture.pptx</v>
      </c>
      <c r="E28" s="2" t="s">
        <v>272</v>
      </c>
    </row>
    <row r="29" spans="3:5" ht="85.5" x14ac:dyDescent="0.45">
      <c r="C29" t="s">
        <v>269</v>
      </c>
      <c r="D29" t="str">
        <f>LOWER(Table11[[#This Row],[Name]])</f>
        <v>_custom agents.pptx</v>
      </c>
      <c r="E29" s="2" t="s">
        <v>267</v>
      </c>
    </row>
    <row r="30" spans="3:5" ht="114" x14ac:dyDescent="0.45">
      <c r="C30" t="s">
        <v>266</v>
      </c>
      <c r="D30" t="str">
        <f>LOWER(Table11[[#This Row],[Name]])</f>
        <v>_documentation generation &amp; code analysis.pptx</v>
      </c>
      <c r="E30" s="2" t="s">
        <v>265</v>
      </c>
    </row>
    <row r="31" spans="3:5" ht="57" x14ac:dyDescent="0.45">
      <c r="C31" t="s">
        <v>264</v>
      </c>
      <c r="D31" t="str">
        <f>LOWER(Table11[[#This Row],[Name]])</f>
        <v>_essential safety measures.pptx</v>
      </c>
      <c r="E31" s="2" t="s">
        <v>263</v>
      </c>
    </row>
    <row r="32" spans="3:5" x14ac:dyDescent="0.45">
      <c r="C32" t="s">
        <v>261</v>
      </c>
      <c r="D32" t="str">
        <f>LOWER(Table11[[#This Row],[Name]])</f>
        <v>_generating implementation prompts &amp; verification.pptx</v>
      </c>
      <c r="E32" s="2" t="s">
        <v>260</v>
      </c>
    </row>
    <row r="33" spans="3:5" x14ac:dyDescent="0.45">
      <c r="C33" t="s">
        <v>259</v>
      </c>
      <c r="D33" t="str">
        <f>LOWER(Table11[[#This Row],[Name]])</f>
        <v>_getting started checklist.pptx</v>
      </c>
      <c r="E33" s="2" t="s">
        <v>258</v>
      </c>
    </row>
    <row r="34" spans="3:5" ht="71.25" x14ac:dyDescent="0.45">
      <c r="C34" t="s">
        <v>257</v>
      </c>
      <c r="D34" t="str">
        <f>LOWER(Table11[[#This Row],[Name]])</f>
        <v>_github copilot for teams.pptx</v>
      </c>
      <c r="E34" s="2" t="s">
        <v>256</v>
      </c>
    </row>
    <row r="35" spans="3:5" ht="57" x14ac:dyDescent="0.45">
      <c r="C35" t="s">
        <v>255</v>
      </c>
      <c r="D35" t="str">
        <f>LOWER(Table11[[#This Row],[Name]])</f>
        <v>_github-copilot-chat-mode-personas.pptx</v>
      </c>
      <c r="E35" s="2" t="s">
        <v>253</v>
      </c>
    </row>
    <row r="36" spans="3:5" x14ac:dyDescent="0.45">
      <c r="C36" t="s">
        <v>195</v>
      </c>
      <c r="D36" t="str">
        <f>LOWER(Table11[[#This Row],[Name]])</f>
        <v>_hands-on with github copilot (vs code).pptx</v>
      </c>
      <c r="E36" s="2"/>
    </row>
    <row r="37" spans="3:5" ht="128.25" x14ac:dyDescent="0.45">
      <c r="C37" t="s">
        <v>244</v>
      </c>
      <c r="D37" t="str">
        <f>LOWER(Table11[[#This Row],[Name]])</f>
        <v>_implementing-vertical-slices.pptx</v>
      </c>
      <c r="E37" s="2" t="s">
        <v>243</v>
      </c>
    </row>
    <row r="38" spans="3:5" ht="42.75" x14ac:dyDescent="0.45">
      <c r="C38" t="s">
        <v>242</v>
      </c>
      <c r="D38" t="str">
        <f>LOWER(Table11[[#This Row],[Name]])</f>
        <v>_instruction files.pptx</v>
      </c>
      <c r="E38" s="2" t="s">
        <v>241</v>
      </c>
    </row>
    <row r="39" spans="3:5" ht="71.25" x14ac:dyDescent="0.45">
      <c r="C39" t="s">
        <v>240</v>
      </c>
      <c r="D39" t="str">
        <f>LOWER(Table11[[#This Row],[Name]])</f>
        <v>_instruction-file-applyto-patterns.pptx</v>
      </c>
      <c r="E39" s="2" t="s">
        <v>238</v>
      </c>
    </row>
    <row r="40" spans="3:5" x14ac:dyDescent="0.45">
      <c r="C40" t="s">
        <v>235</v>
      </c>
      <c r="D40" t="str">
        <f>LOWER(Table11[[#This Row],[Name]])</f>
        <v>_instructions vs prompts vs custom chat modes.pptx</v>
      </c>
      <c r="E40" t="s">
        <v>233</v>
      </c>
    </row>
    <row r="41" spans="3:5" ht="42.75" x14ac:dyDescent="0.45">
      <c r="C41" t="s">
        <v>234</v>
      </c>
      <c r="D41" t="str">
        <f>LOWER(Table11[[#This Row],[Name]])</f>
        <v>_managing github copilot effectively.pptx</v>
      </c>
      <c r="E41" s="2" t="s">
        <v>232</v>
      </c>
    </row>
    <row r="42" spans="3:5" ht="71.25" x14ac:dyDescent="0.45">
      <c r="C42" t="s">
        <v>231</v>
      </c>
      <c r="D42" t="str">
        <f>LOWER(Table11[[#This Row],[Name]])</f>
        <v>_mcp servers.pptx</v>
      </c>
      <c r="E42" s="2" t="s">
        <v>230</v>
      </c>
    </row>
    <row r="43" spans="3:5" ht="71.25" x14ac:dyDescent="0.45">
      <c r="C43" t="s">
        <v>229</v>
      </c>
      <c r="D43" t="str">
        <f>LOWER(Table11[[#This Row],[Name]])</f>
        <v>_mcp-servers-vscode-copilot.pptx</v>
      </c>
      <c r="E43" s="2" t="s">
        <v>228</v>
      </c>
    </row>
    <row r="44" spans="3:5" ht="42.75" x14ac:dyDescent="0.45">
      <c r="C44" t="s">
        <v>226</v>
      </c>
      <c r="D44" t="str">
        <f>LOWER(Table11[[#This Row],[Name]])</f>
        <v>_model selection &amp; comparison.pptx</v>
      </c>
      <c r="E44" s="2" t="s">
        <v>225</v>
      </c>
    </row>
    <row r="45" spans="3:5" ht="85.5" x14ac:dyDescent="0.45">
      <c r="C45" t="s">
        <v>224</v>
      </c>
      <c r="D45" t="str">
        <f>LOWER(Table11[[#This Row],[Name]])</f>
        <v>_multi‑model implementation comparison.pptx</v>
      </c>
      <c r="E45" s="2" t="s">
        <v>222</v>
      </c>
    </row>
    <row r="46" spans="3:5" ht="28.5" x14ac:dyDescent="0.45">
      <c r="C46" t="s">
        <v>219</v>
      </c>
      <c r="D46" t="str">
        <f>LOWER(Table11[[#This Row],[Name]])</f>
        <v>_prompt files.pptx</v>
      </c>
      <c r="E46" s="2" t="s">
        <v>218</v>
      </c>
    </row>
    <row r="47" spans="3:5" x14ac:dyDescent="0.45">
      <c r="C47" t="s">
        <v>196</v>
      </c>
      <c r="D47" t="str">
        <f>LOWER(Table11[[#This Row],[Name]])</f>
        <v>_repository and tool setup.pptx</v>
      </c>
      <c r="E47" s="2"/>
    </row>
    <row r="48" spans="3:5" ht="42.75" x14ac:dyDescent="0.45">
      <c r="C48" t="s">
        <v>217</v>
      </c>
      <c r="D48" t="str">
        <f>LOWER(Table11[[#This Row],[Name]])</f>
        <v>_safe brownfield coding.pptx</v>
      </c>
      <c r="E48" s="2" t="s">
        <v>216</v>
      </c>
    </row>
    <row r="49" spans="3:5" ht="71.25" x14ac:dyDescent="0.45">
      <c r="C49" t="s">
        <v>215</v>
      </c>
      <c r="D49" t="str">
        <f>LOWER(Table11[[#This Row],[Name]])</f>
        <v>_starting with project requirements.pptx</v>
      </c>
      <c r="E49" s="2" t="s">
        <v>213</v>
      </c>
    </row>
    <row r="50" spans="3:5" x14ac:dyDescent="0.45">
      <c r="C50" t="s">
        <v>212</v>
      </c>
      <c r="D50" t="str">
        <f>LOWER(Table11[[#This Row],[Name]])</f>
        <v>_test automation &amp; code quality.pptx</v>
      </c>
      <c r="E50" s="2"/>
    </row>
    <row r="51" spans="3:5" x14ac:dyDescent="0.45">
      <c r="C51" t="s">
        <v>197</v>
      </c>
      <c r="D51" t="str">
        <f>LOWER(Table11[[#This Row],[Name]])</f>
        <v>_the ai revolution.pptx</v>
      </c>
      <c r="E51" s="2"/>
    </row>
    <row r="52" spans="3:5" x14ac:dyDescent="0.45">
      <c r="C52" t="s">
        <v>198</v>
      </c>
      <c r="D52" t="str">
        <f>LOWER(Table11[[#This Row],[Name]])</f>
        <v>_vibe coding.pptx</v>
      </c>
      <c r="E52" s="2"/>
    </row>
    <row r="53" spans="3:5" x14ac:dyDescent="0.45">
      <c r="C53" t="s">
        <v>211</v>
      </c>
      <c r="D53" t="str">
        <f>LOWER(Table11[[#This Row],[Name]])</f>
        <v>_vscode-copilot-agents-overview.pptx</v>
      </c>
      <c r="E53" s="2"/>
    </row>
    <row r="54" spans="3:5" x14ac:dyDescent="0.45">
      <c r="C54" t="s">
        <v>199</v>
      </c>
      <c r="D54" t="str">
        <f>LOWER(Table11[[#This Row],[Name]])</f>
        <v>_welcome and introductions.pptx</v>
      </c>
      <c r="E54" s="2"/>
    </row>
    <row r="55" spans="3:5" x14ac:dyDescent="0.45">
      <c r="C55" t="s">
        <v>200</v>
      </c>
      <c r="D55" t="str">
        <f>LOWER(Table11[[#This Row],[Name]])</f>
        <v>_welcome-and-introductions.pptx</v>
      </c>
      <c r="E55" s="2"/>
    </row>
    <row r="56" spans="3:5" x14ac:dyDescent="0.45">
      <c r="C56" t="s">
        <v>210</v>
      </c>
      <c r="D56" t="str">
        <f>LOWER(Table11[[#This Row],[Name]])</f>
        <v>_what are vertical slices.pptx</v>
      </c>
      <c r="E56" s="2"/>
    </row>
    <row r="57" spans="3:5" x14ac:dyDescent="0.45">
      <c r="C57" t="s">
        <v>209</v>
      </c>
      <c r="D57" t="str">
        <f>LOWER(Table11[[#This Row],[Name]])</f>
        <v>_what defines brownfield code.pptx</v>
      </c>
      <c r="E57" s="2"/>
    </row>
    <row r="58" spans="3:5" x14ac:dyDescent="0.45">
      <c r="C58" t="s">
        <v>206</v>
      </c>
      <c r="D58" t="str">
        <f>LOWER(Table11[[#This Row],[Name]])</f>
        <v>_whats-the-big-deal.pptx</v>
      </c>
      <c r="E58" s="2"/>
    </row>
    <row r="59" spans="3:5" ht="156.75" x14ac:dyDescent="0.45">
      <c r="C59" t="s">
        <v>201</v>
      </c>
      <c r="D59" t="str">
        <f>LOWER(Table11[[#This Row],[Name]])</f>
        <v>adding ai guardrails.pptx</v>
      </c>
      <c r="E59" s="2" t="s">
        <v>308</v>
      </c>
    </row>
    <row r="60" spans="3:5" ht="71.25" x14ac:dyDescent="0.45">
      <c r="C60" t="s">
        <v>307</v>
      </c>
      <c r="D60" t="str">
        <f>LOWER(Table11[[#This Row],[Name]])</f>
        <v>_addressing technical debt.pptx</v>
      </c>
      <c r="E60" s="2" t="s">
        <v>305</v>
      </c>
    </row>
    <row r="61" spans="3:5" x14ac:dyDescent="0.45">
      <c r="C61" t="s">
        <v>373</v>
      </c>
      <c r="D61" t="str">
        <f>LOWER(Table11[[#This Row],[Name]])</f>
        <v>implementation-with-vertical-slices.deck.md</v>
      </c>
      <c r="E61" s="2" t="s">
        <v>373</v>
      </c>
    </row>
    <row r="62" spans="3:5" x14ac:dyDescent="0.45">
      <c r="D62" t="str">
        <f>LOWER(Table11[[#This Row],[Name]])</f>
        <v/>
      </c>
      <c r="E62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EB54-2E02-4CB7-9831-8B22CDCFE359}">
  <dimension ref="C2:P31"/>
  <sheetViews>
    <sheetView topLeftCell="A20" workbookViewId="0">
      <selection activeCell="I16" sqref="I16:I30"/>
    </sheetView>
  </sheetViews>
  <sheetFormatPr defaultRowHeight="14.25" x14ac:dyDescent="0.45"/>
  <cols>
    <col min="3" max="3" width="40.06640625" customWidth="1"/>
    <col min="4" max="4" width="11.06640625" style="1" hidden="1" customWidth="1"/>
    <col min="5" max="5" width="9.796875" customWidth="1"/>
    <col min="6" max="6" width="52.06640625" customWidth="1"/>
    <col min="7" max="7" width="29.796875" style="1" bestFit="1" customWidth="1"/>
    <col min="8" max="8" width="10.796875" bestFit="1" customWidth="1"/>
    <col min="9" max="9" width="13.06640625" bestFit="1" customWidth="1"/>
  </cols>
  <sheetData>
    <row r="2" spans="3:16" x14ac:dyDescent="0.45">
      <c r="C2" t="s">
        <v>1</v>
      </c>
      <c r="D2" s="1" t="s">
        <v>2</v>
      </c>
      <c r="E2" t="s">
        <v>3</v>
      </c>
      <c r="F2" t="s">
        <v>4</v>
      </c>
      <c r="G2" t="s">
        <v>179</v>
      </c>
      <c r="H2" t="s">
        <v>181</v>
      </c>
      <c r="I2" s="1" t="s">
        <v>28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</row>
    <row r="3" spans="3:16" ht="28.5" x14ac:dyDescent="0.45">
      <c r="C3" t="s">
        <v>5</v>
      </c>
      <c r="D3" s="1">
        <v>0</v>
      </c>
      <c r="E3">
        <v>15</v>
      </c>
      <c r="F3" s="2" t="s">
        <v>6</v>
      </c>
      <c r="G3" s="2" t="s">
        <v>310</v>
      </c>
      <c r="H3" s="23" t="s">
        <v>182</v>
      </c>
      <c r="I3" s="6" t="str">
        <f>I2</f>
        <v>10:00:00 AM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1</v>
      </c>
    </row>
    <row r="4" spans="3:16" x14ac:dyDescent="0.45">
      <c r="C4" t="s">
        <v>203</v>
      </c>
      <c r="E4">
        <v>5</v>
      </c>
      <c r="F4" s="2" t="s">
        <v>205</v>
      </c>
      <c r="G4" t="s">
        <v>202</v>
      </c>
      <c r="H4" s="2" t="s">
        <v>204</v>
      </c>
      <c r="I4" s="1">
        <f>I3 + (E3/ 1440)</f>
        <v>0.42708333333333337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5" t="b">
        <v>1</v>
      </c>
    </row>
    <row r="5" spans="3:16" ht="57" x14ac:dyDescent="0.45">
      <c r="C5" t="s">
        <v>30</v>
      </c>
      <c r="D5" s="1">
        <v>4.8611111111111112E-3</v>
      </c>
      <c r="E5">
        <v>10</v>
      </c>
      <c r="F5" s="2" t="s">
        <v>296</v>
      </c>
      <c r="G5" s="2" t="s">
        <v>311</v>
      </c>
      <c r="H5" s="2" t="s">
        <v>183</v>
      </c>
      <c r="I5" s="1">
        <f t="shared" ref="I5:I30" si="0">I4 + (E4/ 1440)</f>
        <v>0.43055555555555558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  <c r="P5" s="5" t="b">
        <v>1</v>
      </c>
    </row>
    <row r="6" spans="3:16" x14ac:dyDescent="0.45">
      <c r="C6" t="s">
        <v>33</v>
      </c>
      <c r="E6">
        <v>10</v>
      </c>
      <c r="F6" s="2" t="s">
        <v>99</v>
      </c>
      <c r="G6" s="2" t="s">
        <v>33</v>
      </c>
      <c r="H6" s="2"/>
      <c r="I6" s="1">
        <f t="shared" si="0"/>
        <v>0.4375</v>
      </c>
      <c r="J6" s="5" t="b">
        <v>1</v>
      </c>
      <c r="K6" s="5" t="b">
        <v>1</v>
      </c>
      <c r="L6" s="5" t="b">
        <v>0</v>
      </c>
      <c r="M6" s="5" t="b">
        <v>0</v>
      </c>
      <c r="N6" s="5" t="b">
        <v>0</v>
      </c>
      <c r="O6" s="5" t="b">
        <v>0</v>
      </c>
      <c r="P6" s="5" t="b">
        <v>0</v>
      </c>
    </row>
    <row r="7" spans="3:16" ht="57" x14ac:dyDescent="0.45">
      <c r="C7" t="s">
        <v>9</v>
      </c>
      <c r="D7" s="1">
        <v>2.5694444444444443E-2</v>
      </c>
      <c r="E7">
        <v>15</v>
      </c>
      <c r="F7" s="2" t="s">
        <v>312</v>
      </c>
      <c r="G7" s="2" t="s">
        <v>190</v>
      </c>
      <c r="H7" s="2"/>
      <c r="I7" s="1">
        <f t="shared" si="0"/>
        <v>0.44444444444444442</v>
      </c>
      <c r="J7" s="5" t="b">
        <v>1</v>
      </c>
      <c r="K7" s="5" t="b">
        <v>1</v>
      </c>
      <c r="L7" s="5" t="b">
        <v>1</v>
      </c>
      <c r="M7" s="5" t="b">
        <v>1</v>
      </c>
      <c r="N7" s="5" t="b">
        <v>0</v>
      </c>
      <c r="O7" s="5" t="b">
        <v>0</v>
      </c>
      <c r="P7" s="5" t="b">
        <v>0</v>
      </c>
    </row>
    <row r="8" spans="3:16" ht="57" x14ac:dyDescent="0.45">
      <c r="C8" t="s">
        <v>184</v>
      </c>
      <c r="E8">
        <v>70</v>
      </c>
      <c r="F8" s="2" t="s">
        <v>192</v>
      </c>
      <c r="G8" s="2" t="s">
        <v>191</v>
      </c>
      <c r="H8" s="2">
        <v>2</v>
      </c>
      <c r="I8" s="1">
        <f t="shared" si="0"/>
        <v>0.4548611111111111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  <c r="P8" s="5" t="b">
        <v>1</v>
      </c>
    </row>
    <row r="9" spans="3:16" x14ac:dyDescent="0.45">
      <c r="C9" t="s">
        <v>185</v>
      </c>
      <c r="E9">
        <v>0</v>
      </c>
      <c r="F9" s="2" t="s">
        <v>11</v>
      </c>
      <c r="G9" s="2" t="s">
        <v>191</v>
      </c>
      <c r="H9" s="2">
        <v>11</v>
      </c>
      <c r="I9" s="1">
        <f t="shared" si="0"/>
        <v>0.50347222222222221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0</v>
      </c>
      <c r="P9" s="5" t="b">
        <v>1</v>
      </c>
    </row>
    <row r="10" spans="3:16" x14ac:dyDescent="0.45">
      <c r="C10" t="s">
        <v>186</v>
      </c>
      <c r="E10">
        <v>0</v>
      </c>
      <c r="F10" s="2" t="s">
        <v>12</v>
      </c>
      <c r="G10" s="2" t="s">
        <v>191</v>
      </c>
      <c r="H10" s="2">
        <v>12</v>
      </c>
      <c r="I10" s="1">
        <f t="shared" si="0"/>
        <v>0.50347222222222221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1</v>
      </c>
    </row>
    <row r="11" spans="3:16" ht="28.5" x14ac:dyDescent="0.45">
      <c r="C11" t="s">
        <v>187</v>
      </c>
      <c r="E11">
        <v>0</v>
      </c>
      <c r="F11" s="2" t="s">
        <v>98</v>
      </c>
      <c r="G11" s="2" t="s">
        <v>191</v>
      </c>
      <c r="H11" s="2">
        <v>13</v>
      </c>
      <c r="I11" s="1">
        <f t="shared" si="0"/>
        <v>0.50347222222222221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5" t="b">
        <v>1</v>
      </c>
    </row>
    <row r="12" spans="3:16" ht="28.5" x14ac:dyDescent="0.45">
      <c r="C12" t="s">
        <v>188</v>
      </c>
      <c r="E12">
        <v>0</v>
      </c>
      <c r="F12" s="2" t="s">
        <v>97</v>
      </c>
      <c r="G12" s="2" t="s">
        <v>191</v>
      </c>
      <c r="H12" s="2">
        <v>14</v>
      </c>
      <c r="I12" s="1">
        <f t="shared" si="0"/>
        <v>0.50347222222222221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  <c r="P12" s="5" t="b">
        <v>1</v>
      </c>
    </row>
    <row r="13" spans="3:16" ht="28.5" x14ac:dyDescent="0.45">
      <c r="C13" t="s">
        <v>189</v>
      </c>
      <c r="E13">
        <v>0</v>
      </c>
      <c r="F13" s="2" t="s">
        <v>96</v>
      </c>
      <c r="G13" s="2" t="s">
        <v>223</v>
      </c>
      <c r="H13" s="2">
        <v>15</v>
      </c>
      <c r="I13" s="1">
        <f t="shared" si="0"/>
        <v>0.50347222222222221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  <c r="P13" s="5" t="b">
        <v>1</v>
      </c>
    </row>
    <row r="14" spans="3:16" ht="28.5" x14ac:dyDescent="0.45">
      <c r="C14" t="s">
        <v>0</v>
      </c>
      <c r="D14" s="1">
        <v>1.2500000000000001E-2</v>
      </c>
      <c r="E14">
        <v>0</v>
      </c>
      <c r="F14" s="2" t="s">
        <v>13</v>
      </c>
      <c r="G14" s="2" t="s">
        <v>321</v>
      </c>
      <c r="H14" s="2"/>
      <c r="I14" s="1">
        <f t="shared" si="0"/>
        <v>0.50347222222222221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1</v>
      </c>
      <c r="O14" s="5" t="b">
        <v>1</v>
      </c>
      <c r="P14" s="5" t="b">
        <v>0</v>
      </c>
    </row>
    <row r="15" spans="3:16" x14ac:dyDescent="0.45">
      <c r="C15" t="s">
        <v>14</v>
      </c>
      <c r="D15" s="1">
        <v>2.361111111111111E-2</v>
      </c>
      <c r="E15">
        <v>0</v>
      </c>
      <c r="F15" s="2" t="s">
        <v>15</v>
      </c>
      <c r="G15" s="2" t="s">
        <v>322</v>
      </c>
      <c r="H15" s="2"/>
      <c r="I15" s="1">
        <f t="shared" si="0"/>
        <v>0.50347222222222221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1</v>
      </c>
      <c r="O15" s="5" t="b">
        <v>1</v>
      </c>
      <c r="P15" s="5" t="b">
        <v>0</v>
      </c>
    </row>
    <row r="16" spans="3:16" x14ac:dyDescent="0.45">
      <c r="C16" t="s">
        <v>16</v>
      </c>
      <c r="D16" s="1">
        <v>2.7777777777777776E-2</v>
      </c>
      <c r="E16">
        <v>0</v>
      </c>
      <c r="F16" s="2" t="s">
        <v>17</v>
      </c>
      <c r="G16" s="2"/>
      <c r="H16" s="2"/>
      <c r="I16" s="1">
        <f t="shared" si="0"/>
        <v>0.50347222222222221</v>
      </c>
      <c r="J16" s="5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0</v>
      </c>
      <c r="P16" s="5" t="b">
        <v>1</v>
      </c>
    </row>
    <row r="17" spans="3:16" x14ac:dyDescent="0.45">
      <c r="C17" t="s">
        <v>18</v>
      </c>
      <c r="D17" s="1">
        <v>3.1944444444444442E-2</v>
      </c>
      <c r="E17">
        <v>0</v>
      </c>
      <c r="F17" s="2" t="s">
        <v>19</v>
      </c>
      <c r="G17" s="2"/>
      <c r="H17" s="2"/>
      <c r="I17" s="1">
        <f t="shared" si="0"/>
        <v>0.50347222222222221</v>
      </c>
      <c r="J17" s="5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0</v>
      </c>
      <c r="P17" s="5" t="b">
        <v>1</v>
      </c>
    </row>
    <row r="18" spans="3:16" x14ac:dyDescent="0.45">
      <c r="C18" t="s">
        <v>20</v>
      </c>
      <c r="D18" s="1">
        <v>3.888888888888889E-2</v>
      </c>
      <c r="E18">
        <v>0</v>
      </c>
      <c r="F18" s="2" t="s">
        <v>21</v>
      </c>
      <c r="G18" s="2"/>
      <c r="H18" s="2"/>
      <c r="I18" s="1">
        <f t="shared" si="0"/>
        <v>0.50347222222222221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  <c r="P18" s="5" t="b">
        <v>1</v>
      </c>
    </row>
    <row r="19" spans="3:16" x14ac:dyDescent="0.45">
      <c r="C19" t="s">
        <v>22</v>
      </c>
      <c r="D19" s="1">
        <v>4.8611111111111112E-2</v>
      </c>
      <c r="E19">
        <v>0</v>
      </c>
      <c r="F19" s="2" t="s">
        <v>23</v>
      </c>
      <c r="G19" s="2"/>
      <c r="H19" s="2"/>
      <c r="I19" s="1">
        <f t="shared" si="0"/>
        <v>0.50347222222222221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5" t="b">
        <v>1</v>
      </c>
    </row>
    <row r="20" spans="3:16" x14ac:dyDescent="0.45">
      <c r="C20" t="s">
        <v>29</v>
      </c>
      <c r="E20">
        <v>60</v>
      </c>
      <c r="F20" s="2"/>
      <c r="G20" s="2"/>
      <c r="H20" s="2"/>
      <c r="I20" s="1">
        <f t="shared" si="0"/>
        <v>0.50347222222222221</v>
      </c>
      <c r="J20" s="5" t="b">
        <v>0</v>
      </c>
      <c r="K20" s="5" t="b">
        <v>0</v>
      </c>
      <c r="L20" s="5" t="b">
        <v>0</v>
      </c>
      <c r="M20" s="5" t="b">
        <v>0</v>
      </c>
      <c r="N20" s="5" t="b">
        <v>0</v>
      </c>
      <c r="O20" s="5" t="b">
        <v>0</v>
      </c>
      <c r="P20" s="5" t="b">
        <v>1</v>
      </c>
    </row>
    <row r="21" spans="3:16" x14ac:dyDescent="0.45">
      <c r="C21" t="s">
        <v>26</v>
      </c>
      <c r="D21" s="1">
        <v>8.0555555555555561E-2</v>
      </c>
      <c r="E21">
        <v>15</v>
      </c>
      <c r="F21" s="2" t="s">
        <v>27</v>
      </c>
      <c r="G21" s="2" t="s">
        <v>323</v>
      </c>
      <c r="H21" s="2"/>
      <c r="I21" s="1">
        <f t="shared" si="0"/>
        <v>0.54513888888888884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0</v>
      </c>
      <c r="P21" s="5" t="b">
        <v>1</v>
      </c>
    </row>
    <row r="22" spans="3:16" ht="28.5" x14ac:dyDescent="0.45">
      <c r="C22" t="s">
        <v>24</v>
      </c>
      <c r="D22" s="1">
        <v>5.9027777777777776E-2</v>
      </c>
      <c r="E22">
        <v>15</v>
      </c>
      <c r="F22" s="2" t="s">
        <v>25</v>
      </c>
      <c r="G22" s="2" t="s">
        <v>324</v>
      </c>
      <c r="H22" s="2"/>
      <c r="I22" s="1">
        <f t="shared" si="0"/>
        <v>0.55555555555555547</v>
      </c>
      <c r="J22" s="5" t="b">
        <v>0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0</v>
      </c>
      <c r="P22" s="5" t="b">
        <v>1</v>
      </c>
    </row>
    <row r="23" spans="3:16" ht="128.25" x14ac:dyDescent="0.45">
      <c r="C23" t="s">
        <v>309</v>
      </c>
      <c r="F23" s="2" t="s">
        <v>308</v>
      </c>
      <c r="G23" s="2" t="s">
        <v>201</v>
      </c>
      <c r="H23" s="2"/>
      <c r="I23" s="1">
        <f t="shared" si="0"/>
        <v>0.5659722222222221</v>
      </c>
      <c r="J23" s="5" t="b">
        <v>0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0</v>
      </c>
      <c r="P23" s="5" t="b">
        <v>0</v>
      </c>
    </row>
    <row r="24" spans="3:16" ht="28.5" x14ac:dyDescent="0.45">
      <c r="C24" t="s">
        <v>237</v>
      </c>
      <c r="F24" s="2" t="s">
        <v>241</v>
      </c>
      <c r="G24" t="s">
        <v>237</v>
      </c>
      <c r="H24" s="2"/>
      <c r="I24" s="1">
        <f t="shared" si="0"/>
        <v>0.5659722222222221</v>
      </c>
      <c r="J24" s="5" t="b">
        <v>0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0</v>
      </c>
      <c r="P24" s="5" t="b">
        <v>0</v>
      </c>
    </row>
    <row r="25" spans="3:16" ht="99.75" x14ac:dyDescent="0.45">
      <c r="C25" t="s">
        <v>239</v>
      </c>
      <c r="F25" s="2" t="s">
        <v>279</v>
      </c>
      <c r="G25" s="2" t="s">
        <v>313</v>
      </c>
      <c r="H25" s="2"/>
      <c r="I25" s="1">
        <f t="shared" si="0"/>
        <v>0.5659722222222221</v>
      </c>
      <c r="J25" s="5" t="b">
        <v>0</v>
      </c>
      <c r="K25" s="5" t="b">
        <v>0</v>
      </c>
      <c r="L25" s="5" t="b">
        <v>0</v>
      </c>
      <c r="M25" s="5" t="b">
        <v>0</v>
      </c>
      <c r="N25" s="5" t="b">
        <v>0</v>
      </c>
      <c r="O25" s="5" t="b">
        <v>0</v>
      </c>
      <c r="P25" s="5" t="b">
        <v>0</v>
      </c>
    </row>
    <row r="26" spans="3:16" ht="57" x14ac:dyDescent="0.45">
      <c r="C26" t="s">
        <v>38</v>
      </c>
      <c r="E26">
        <v>40</v>
      </c>
      <c r="F26" s="2" t="s">
        <v>93</v>
      </c>
      <c r="G26" s="2" t="s">
        <v>281</v>
      </c>
      <c r="H26" s="2"/>
      <c r="I26" s="1">
        <f t="shared" si="0"/>
        <v>0.5659722222222221</v>
      </c>
      <c r="J26" s="5" t="b">
        <v>1</v>
      </c>
      <c r="K26" s="5" t="b">
        <v>1</v>
      </c>
      <c r="L26" s="5" t="b">
        <v>0</v>
      </c>
      <c r="M26" s="5" t="b">
        <v>0</v>
      </c>
      <c r="N26" s="5" t="b">
        <v>0</v>
      </c>
      <c r="O26" s="5" t="b">
        <v>0</v>
      </c>
      <c r="P26" s="5" t="b">
        <v>0</v>
      </c>
    </row>
    <row r="27" spans="3:16" ht="28.5" x14ac:dyDescent="0.45">
      <c r="C27" t="s">
        <v>35</v>
      </c>
      <c r="E27">
        <v>5</v>
      </c>
      <c r="F27" s="2" t="s">
        <v>92</v>
      </c>
      <c r="G27" s="2" t="s">
        <v>325</v>
      </c>
      <c r="H27" s="2"/>
      <c r="I27" s="1">
        <f t="shared" si="0"/>
        <v>0.59374999999999989</v>
      </c>
      <c r="J27" s="5" t="b">
        <v>1</v>
      </c>
      <c r="K27" s="5" t="b">
        <v>1</v>
      </c>
      <c r="L27" s="5" t="b">
        <v>0</v>
      </c>
      <c r="M27" s="5" t="b">
        <v>0</v>
      </c>
      <c r="N27" s="5" t="b">
        <v>0</v>
      </c>
      <c r="O27" s="5" t="b">
        <v>0</v>
      </c>
      <c r="P27" s="5" t="b">
        <v>0</v>
      </c>
    </row>
    <row r="28" spans="3:16" ht="42.75" x14ac:dyDescent="0.45">
      <c r="C28" t="s">
        <v>37</v>
      </c>
      <c r="E28">
        <v>15</v>
      </c>
      <c r="F28" s="2" t="s">
        <v>91</v>
      </c>
      <c r="G28" s="2" t="s">
        <v>326</v>
      </c>
      <c r="H28" s="2"/>
      <c r="I28" s="1">
        <f t="shared" si="0"/>
        <v>0.5972222222222221</v>
      </c>
      <c r="J28" s="5" t="b">
        <v>1</v>
      </c>
      <c r="K28" s="5" t="b">
        <v>1</v>
      </c>
      <c r="L28" s="5" t="b">
        <v>0</v>
      </c>
      <c r="M28" s="5" t="b">
        <v>0</v>
      </c>
      <c r="N28" s="5" t="b">
        <v>0</v>
      </c>
      <c r="O28" s="5" t="b">
        <v>0</v>
      </c>
      <c r="P28" s="5" t="b">
        <v>0</v>
      </c>
    </row>
    <row r="29" spans="3:16" ht="57" x14ac:dyDescent="0.45">
      <c r="C29" t="s">
        <v>68</v>
      </c>
      <c r="E29">
        <v>20</v>
      </c>
      <c r="F29" s="2" t="s">
        <v>122</v>
      </c>
      <c r="G29" t="s">
        <v>327</v>
      </c>
      <c r="I29" s="1">
        <f t="shared" si="0"/>
        <v>0.60763888888888873</v>
      </c>
      <c r="J29" s="5" t="b">
        <v>1</v>
      </c>
      <c r="K29" s="5" t="b">
        <v>1</v>
      </c>
      <c r="L29" s="5" t="b">
        <v>0</v>
      </c>
      <c r="M29" s="5" t="b">
        <v>0</v>
      </c>
      <c r="N29" s="5" t="b">
        <v>0</v>
      </c>
      <c r="O29" s="5" t="b">
        <v>0</v>
      </c>
      <c r="P29" s="5" t="b">
        <v>0</v>
      </c>
    </row>
    <row r="30" spans="3:16" ht="42.75" x14ac:dyDescent="0.45">
      <c r="C30" t="s">
        <v>56</v>
      </c>
      <c r="E30">
        <v>5</v>
      </c>
      <c r="F30" s="2" t="s">
        <v>88</v>
      </c>
      <c r="G30" t="s">
        <v>328</v>
      </c>
      <c r="I30" s="1">
        <f t="shared" si="0"/>
        <v>0.62152777777777757</v>
      </c>
      <c r="J30" s="5" t="b">
        <v>1</v>
      </c>
      <c r="K30" s="5" t="b">
        <v>1</v>
      </c>
      <c r="L30" s="5" t="b">
        <v>0</v>
      </c>
      <c r="M30" s="5" t="b">
        <v>0</v>
      </c>
      <c r="N30" s="5" t="b">
        <v>0</v>
      </c>
      <c r="O30" s="5" t="b">
        <v>0</v>
      </c>
      <c r="P30" s="5" t="b">
        <v>0</v>
      </c>
    </row>
    <row r="31" spans="3:16" x14ac:dyDescent="0.45">
      <c r="G31"/>
      <c r="I31" s="1"/>
      <c r="J31" s="16">
        <f>COUNTIF(monday[Copilot],TRUE)</f>
        <v>7</v>
      </c>
      <c r="K31" s="16">
        <f>COUNTIF(monday[Claude],TRUE)</f>
        <v>7</v>
      </c>
      <c r="L31" s="16">
        <f>COUNTIF(monday[Visual Studio],TRUE)</f>
        <v>1</v>
      </c>
      <c r="M31" s="16">
        <f>COUNTIF(monday[VS Code],TRUE)</f>
        <v>1</v>
      </c>
      <c r="N31" s="16">
        <f>COUNTIF(monday[GitHub],TRUE)</f>
        <v>2</v>
      </c>
      <c r="O31" s="16">
        <f>COUNTIF(monday[AzDO],TRUE)</f>
        <v>2</v>
      </c>
      <c r="P31" s="16">
        <f>COUNTIF(monday[Agnostic],TRUE)</f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BCC8-4678-4A74-B9FA-42E487B327B3}">
  <dimension ref="B2:O25"/>
  <sheetViews>
    <sheetView tabSelected="1" workbookViewId="0">
      <selection activeCell="F8" sqref="F8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30.73046875" style="1" bestFit="1" customWidth="1"/>
    <col min="7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179</v>
      </c>
      <c r="G2" t="s">
        <v>193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10</v>
      </c>
      <c r="E3" s="2"/>
      <c r="F3" t="s">
        <v>314</v>
      </c>
      <c r="H3" s="6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28.5" x14ac:dyDescent="0.45">
      <c r="B4" s="3" t="s">
        <v>54</v>
      </c>
      <c r="C4" s="7"/>
      <c r="D4" s="4">
        <v>5</v>
      </c>
      <c r="E4" s="8" t="s">
        <v>89</v>
      </c>
      <c r="F4" t="s">
        <v>315</v>
      </c>
      <c r="H4" s="1">
        <f t="shared" ref="H4:H24" si="0">H3 + (D3/ 1440)</f>
        <v>0.4236111111111111</v>
      </c>
      <c r="I4" s="5" t="b">
        <v>1</v>
      </c>
      <c r="J4" s="5" t="b">
        <v>1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</row>
    <row r="5" spans="2:15" ht="28.5" x14ac:dyDescent="0.45">
      <c r="B5" s="3" t="s">
        <v>48</v>
      </c>
      <c r="C5" s="7"/>
      <c r="D5" s="4">
        <v>5</v>
      </c>
      <c r="E5" s="8" t="s">
        <v>90</v>
      </c>
      <c r="F5" t="s">
        <v>316</v>
      </c>
      <c r="H5" s="1">
        <f t="shared" si="0"/>
        <v>0.42708333333333331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</row>
    <row r="6" spans="2:15" ht="28.5" x14ac:dyDescent="0.45">
      <c r="B6" s="3" t="s">
        <v>139</v>
      </c>
      <c r="C6" s="7">
        <v>6.2500000000000003E-3</v>
      </c>
      <c r="D6" s="4">
        <v>5</v>
      </c>
      <c r="E6" s="8" t="s">
        <v>7</v>
      </c>
      <c r="F6" s="2" t="s">
        <v>339</v>
      </c>
      <c r="G6" s="2"/>
      <c r="H6" s="1">
        <f t="shared" si="0"/>
        <v>0.43055555555555552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10" t="b">
        <v>1</v>
      </c>
    </row>
    <row r="7" spans="2:15" x14ac:dyDescent="0.45">
      <c r="B7" s="3" t="s">
        <v>32</v>
      </c>
      <c r="C7" s="7">
        <v>2.013888888888889E-2</v>
      </c>
      <c r="D7" s="4">
        <v>10</v>
      </c>
      <c r="E7" s="8" t="s">
        <v>8</v>
      </c>
      <c r="F7" s="2" t="s">
        <v>317</v>
      </c>
      <c r="G7" s="2"/>
      <c r="H7" s="1">
        <f t="shared" si="0"/>
        <v>0.43402777777777773</v>
      </c>
      <c r="I7" s="9" t="b">
        <v>1</v>
      </c>
      <c r="J7" s="9" t="b">
        <v>1</v>
      </c>
      <c r="K7" s="9" t="b">
        <v>0</v>
      </c>
      <c r="L7" s="9" t="b">
        <v>0</v>
      </c>
      <c r="M7" s="9" t="b">
        <v>0</v>
      </c>
      <c r="N7" s="9" t="b">
        <v>0</v>
      </c>
      <c r="O7" s="10" t="b">
        <v>0</v>
      </c>
    </row>
    <row r="8" spans="2:15" ht="57" x14ac:dyDescent="0.45">
      <c r="B8" t="s">
        <v>34</v>
      </c>
      <c r="C8" s="1">
        <v>4.8611111111111112E-3</v>
      </c>
      <c r="D8">
        <v>20</v>
      </c>
      <c r="E8" s="2" t="s">
        <v>95</v>
      </c>
      <c r="F8" t="s">
        <v>332</v>
      </c>
      <c r="H8" s="1">
        <f>H9 + (D9/ 1440)</f>
        <v>0.44444444444444436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1</v>
      </c>
    </row>
    <row r="9" spans="2:15" ht="28.5" x14ac:dyDescent="0.45">
      <c r="B9" s="3" t="s">
        <v>31</v>
      </c>
      <c r="C9" s="7">
        <v>1.7361111111111112E-2</v>
      </c>
      <c r="D9" s="4">
        <v>5</v>
      </c>
      <c r="E9" s="8" t="s">
        <v>10</v>
      </c>
      <c r="F9" s="2" t="s">
        <v>318</v>
      </c>
      <c r="G9" s="2"/>
      <c r="H9" s="1">
        <f>H7 + (D7/ 1440)</f>
        <v>0.44097222222222215</v>
      </c>
      <c r="I9" s="9" t="b">
        <v>1</v>
      </c>
      <c r="J9" s="9" t="b">
        <v>1</v>
      </c>
      <c r="K9" s="9" t="b">
        <v>0</v>
      </c>
      <c r="L9" s="9" t="b">
        <v>0</v>
      </c>
      <c r="M9" s="9" t="b">
        <v>0</v>
      </c>
      <c r="N9" s="9" t="b">
        <v>0</v>
      </c>
      <c r="O9" s="10" t="b">
        <v>0</v>
      </c>
    </row>
    <row r="10" spans="2:15" ht="42.75" x14ac:dyDescent="0.45">
      <c r="B10" t="s">
        <v>47</v>
      </c>
      <c r="C10" s="1">
        <v>6.2500000000000003E-3</v>
      </c>
      <c r="D10">
        <v>10</v>
      </c>
      <c r="E10" s="2" t="s">
        <v>94</v>
      </c>
      <c r="F10" t="s">
        <v>320</v>
      </c>
      <c r="H10" s="1">
        <f>H8 + (D8/ 1440)</f>
        <v>0.45833333333333326</v>
      </c>
      <c r="I10" s="5" t="b">
        <v>1</v>
      </c>
      <c r="J10" s="5" t="b">
        <v>1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</row>
    <row r="11" spans="2:15" x14ac:dyDescent="0.45">
      <c r="B11" t="s">
        <v>141</v>
      </c>
      <c r="D11">
        <v>15</v>
      </c>
      <c r="E11" s="2" t="s">
        <v>140</v>
      </c>
      <c r="F11" t="s">
        <v>333</v>
      </c>
      <c r="H11" s="1">
        <f>H10 + (D10/ 1440)</f>
        <v>0.46527777777777768</v>
      </c>
      <c r="I11" s="5" t="b">
        <v>1</v>
      </c>
      <c r="J11" s="5" t="b">
        <v>1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</row>
    <row r="12" spans="2:15" ht="28.5" x14ac:dyDescent="0.45">
      <c r="B12" t="s">
        <v>334</v>
      </c>
      <c r="C12" s="1">
        <v>2.013888888888889E-2</v>
      </c>
      <c r="D12">
        <v>20</v>
      </c>
      <c r="E12" s="2" t="s">
        <v>100</v>
      </c>
      <c r="F12" t="s">
        <v>335</v>
      </c>
      <c r="H12" s="1">
        <f>H11 + (D11/ 1440)</f>
        <v>0.47569444444444436</v>
      </c>
      <c r="I12" s="5" t="b">
        <v>1</v>
      </c>
      <c r="J12" s="5" t="b">
        <v>1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</row>
    <row r="13" spans="2:15" ht="28.5" x14ac:dyDescent="0.45">
      <c r="B13" t="s">
        <v>36</v>
      </c>
      <c r="C13" s="1">
        <v>1.7361111111111112E-2</v>
      </c>
      <c r="D13">
        <v>20</v>
      </c>
      <c r="E13" s="2" t="s">
        <v>101</v>
      </c>
      <c r="F13" t="s">
        <v>336</v>
      </c>
      <c r="H13" s="1">
        <f>H12 + (D12/ 1440)</f>
        <v>0.48958333333333326</v>
      </c>
      <c r="I13" s="5" t="b">
        <v>1</v>
      </c>
      <c r="J13" s="5" t="b">
        <v>1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</row>
    <row r="14" spans="2:15" x14ac:dyDescent="0.45">
      <c r="B14" s="3" t="s">
        <v>29</v>
      </c>
      <c r="C14" s="7"/>
      <c r="D14" s="4">
        <v>60</v>
      </c>
      <c r="E14" s="8"/>
      <c r="F14"/>
      <c r="H14" s="1">
        <f t="shared" si="0"/>
        <v>0.5034722222222221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10" t="b">
        <v>1</v>
      </c>
    </row>
    <row r="15" spans="2:15" ht="42.75" x14ac:dyDescent="0.45">
      <c r="B15" t="s">
        <v>49</v>
      </c>
      <c r="D15">
        <v>20</v>
      </c>
      <c r="E15" s="2" t="s">
        <v>102</v>
      </c>
      <c r="F15" t="s">
        <v>337</v>
      </c>
      <c r="H15" s="1">
        <f t="shared" si="0"/>
        <v>0.54513888888888873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1</v>
      </c>
    </row>
    <row r="16" spans="2:15" ht="57" x14ac:dyDescent="0.45">
      <c r="B16" t="s">
        <v>50</v>
      </c>
      <c r="C16" s="1">
        <v>2.5694444444444443E-2</v>
      </c>
      <c r="D16">
        <v>10</v>
      </c>
      <c r="E16" s="2" t="s">
        <v>103</v>
      </c>
      <c r="F16" t="s">
        <v>338</v>
      </c>
      <c r="H16" s="1">
        <f t="shared" si="0"/>
        <v>0.55902777777777757</v>
      </c>
      <c r="I16" s="5" t="b">
        <v>0</v>
      </c>
      <c r="J16" s="5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1</v>
      </c>
    </row>
    <row r="17" spans="2:15" ht="28.5" x14ac:dyDescent="0.45">
      <c r="B17" t="s">
        <v>51</v>
      </c>
      <c r="D17">
        <v>10</v>
      </c>
      <c r="E17" s="2" t="s">
        <v>104</v>
      </c>
      <c r="F17" t="s">
        <v>340</v>
      </c>
      <c r="H17" s="1">
        <f t="shared" si="0"/>
        <v>0.56597222222222199</v>
      </c>
      <c r="I17" s="5" t="b">
        <v>1</v>
      </c>
      <c r="J17" s="5" t="b">
        <v>1</v>
      </c>
      <c r="K17" s="5" t="b">
        <v>1</v>
      </c>
      <c r="L17" s="5" t="b">
        <v>1</v>
      </c>
      <c r="M17" s="5" t="b">
        <v>0</v>
      </c>
      <c r="N17" s="5" t="b">
        <v>0</v>
      </c>
      <c r="O17" s="5" t="b">
        <v>0</v>
      </c>
    </row>
    <row r="18" spans="2:15" ht="42.75" x14ac:dyDescent="0.45">
      <c r="B18" t="s">
        <v>52</v>
      </c>
      <c r="D18">
        <v>10</v>
      </c>
      <c r="E18" s="2" t="s">
        <v>105</v>
      </c>
      <c r="F18" t="s">
        <v>331</v>
      </c>
      <c r="H18" s="1">
        <f t="shared" si="0"/>
        <v>0.57291666666666641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1</v>
      </c>
    </row>
    <row r="19" spans="2:15" ht="28.5" x14ac:dyDescent="0.45">
      <c r="B19" t="s">
        <v>53</v>
      </c>
      <c r="D19">
        <v>5</v>
      </c>
      <c r="E19" s="2" t="s">
        <v>106</v>
      </c>
      <c r="F19" t="s">
        <v>140</v>
      </c>
      <c r="H19" s="1">
        <f t="shared" si="0"/>
        <v>0.57986111111111083</v>
      </c>
      <c r="I19" s="5" t="b">
        <v>0</v>
      </c>
      <c r="J19" s="5" t="b">
        <v>0</v>
      </c>
      <c r="K19" s="5" t="b">
        <v>1</v>
      </c>
      <c r="L19" s="5" t="b">
        <v>0</v>
      </c>
      <c r="M19" s="5" t="b">
        <v>0</v>
      </c>
      <c r="N19" s="5" t="b">
        <v>1</v>
      </c>
      <c r="O19" s="5" t="b">
        <v>0</v>
      </c>
    </row>
    <row r="20" spans="2:15" ht="28.5" x14ac:dyDescent="0.45">
      <c r="B20" t="s">
        <v>107</v>
      </c>
      <c r="D20">
        <v>10</v>
      </c>
      <c r="E20" s="2" t="s">
        <v>110</v>
      </c>
      <c r="F20" t="s">
        <v>140</v>
      </c>
      <c r="H20" s="1">
        <f t="shared" si="0"/>
        <v>0.58333333333333304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1</v>
      </c>
      <c r="N20" s="5" t="b">
        <v>1</v>
      </c>
      <c r="O20" s="5" t="b">
        <v>0</v>
      </c>
    </row>
    <row r="21" spans="2:15" ht="57" x14ac:dyDescent="0.45">
      <c r="B21" t="s">
        <v>59</v>
      </c>
      <c r="D21">
        <v>5</v>
      </c>
      <c r="E21" s="2" t="s">
        <v>111</v>
      </c>
      <c r="F21" t="s">
        <v>341</v>
      </c>
      <c r="H21" s="1">
        <f t="shared" si="0"/>
        <v>0.59027777777777746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1</v>
      </c>
    </row>
    <row r="22" spans="2:15" ht="156.75" x14ac:dyDescent="0.45">
      <c r="B22" t="s">
        <v>60</v>
      </c>
      <c r="C22" s="1">
        <v>1.2500000000000001E-2</v>
      </c>
      <c r="D22">
        <v>15</v>
      </c>
      <c r="E22" s="2" t="s">
        <v>112</v>
      </c>
      <c r="F22" t="s">
        <v>330</v>
      </c>
      <c r="H22" s="1" t="e">
        <f>#REF! + (#REF!/ 1440)</f>
        <v>#REF!</v>
      </c>
      <c r="I22" s="5" t="b">
        <v>0</v>
      </c>
      <c r="J22" s="5" t="b">
        <v>0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1</v>
      </c>
    </row>
    <row r="23" spans="2:15" ht="57" x14ac:dyDescent="0.45">
      <c r="B23" t="s">
        <v>61</v>
      </c>
      <c r="C23" s="1">
        <v>2.361111111111111E-2</v>
      </c>
      <c r="D23">
        <v>10</v>
      </c>
      <c r="E23" s="2" t="s">
        <v>113</v>
      </c>
      <c r="F23" t="s">
        <v>342</v>
      </c>
      <c r="H23" s="1" t="e">
        <f t="shared" si="0"/>
        <v>#REF!</v>
      </c>
      <c r="I23" s="5" t="b">
        <v>0</v>
      </c>
      <c r="J23" s="5" t="b">
        <v>0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1</v>
      </c>
    </row>
    <row r="24" spans="2:15" ht="42.75" x14ac:dyDescent="0.45">
      <c r="B24" t="s">
        <v>62</v>
      </c>
      <c r="C24" s="1">
        <v>2.5694444444444443E-2</v>
      </c>
      <c r="D24">
        <v>5</v>
      </c>
      <c r="E24" s="2" t="s">
        <v>114</v>
      </c>
      <c r="F24" t="s">
        <v>329</v>
      </c>
      <c r="H24" s="1" t="e">
        <f t="shared" si="0"/>
        <v>#REF!</v>
      </c>
      <c r="I24" s="5" t="b">
        <v>0</v>
      </c>
      <c r="J24" s="5" t="b">
        <v>0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1</v>
      </c>
    </row>
    <row r="25" spans="2:15" x14ac:dyDescent="0.45">
      <c r="F25"/>
      <c r="H25" s="1"/>
      <c r="I25" s="16">
        <f>COUNTIF(tuesday[Copilot],TRUE)</f>
        <v>8</v>
      </c>
      <c r="J25" s="16">
        <f>COUNTIF(tuesday[Claude],TRUE)</f>
        <v>8</v>
      </c>
      <c r="K25" s="16">
        <f>COUNTIF(tuesday[Visual Studio],TRUE)</f>
        <v>2</v>
      </c>
      <c r="L25" s="16">
        <f>COUNTIF(tuesday[VS Code],TRUE)</f>
        <v>1</v>
      </c>
      <c r="M25" s="16">
        <f>COUNTIF(tuesday[GitHub],TRUE)</f>
        <v>1</v>
      </c>
      <c r="N25" s="16">
        <f>COUNTIF(tuesday[AzDO],TRUE)</f>
        <v>2</v>
      </c>
      <c r="O25" s="16">
        <f>COUNTIF(tuesday[Agnostic],TRUE)</f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9B16-57A4-4E69-AF5C-15C19AF94F46}">
  <dimension ref="B2:O13"/>
  <sheetViews>
    <sheetView topLeftCell="A10" workbookViewId="0">
      <selection activeCell="F9" sqref="F9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44.265625" style="1" customWidth="1"/>
    <col min="8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179</v>
      </c>
      <c r="G2" t="s">
        <v>193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15</v>
      </c>
      <c r="E3" s="2"/>
      <c r="F3" s="2"/>
      <c r="H3" s="6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199.5" x14ac:dyDescent="0.45">
      <c r="B4" t="s">
        <v>233</v>
      </c>
      <c r="E4" s="2" t="s">
        <v>299</v>
      </c>
      <c r="F4" s="2" t="s">
        <v>363</v>
      </c>
      <c r="H4" s="6">
        <f>H3 + (D3/ 1440)</f>
        <v>0.42708333333333337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</row>
    <row r="5" spans="2:15" ht="171" x14ac:dyDescent="0.45">
      <c r="B5" t="s">
        <v>70</v>
      </c>
      <c r="D5">
        <v>15</v>
      </c>
      <c r="E5" s="2" t="s">
        <v>268</v>
      </c>
      <c r="F5" s="2" t="s">
        <v>364</v>
      </c>
      <c r="H5" s="1">
        <f>H3 + (D3/ 1440)</f>
        <v>0.42708333333333337</v>
      </c>
      <c r="I5" s="5" t="b">
        <v>1</v>
      </c>
      <c r="J5" s="5" t="b">
        <v>1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</row>
    <row r="6" spans="2:15" ht="57" x14ac:dyDescent="0.45">
      <c r="B6" t="s">
        <v>254</v>
      </c>
      <c r="E6" s="2" t="s">
        <v>253</v>
      </c>
      <c r="F6" s="2" t="s">
        <v>365</v>
      </c>
      <c r="H6" s="1">
        <f>H5 + (D5/ 1440)</f>
        <v>0.43750000000000006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</row>
    <row r="7" spans="2:15" x14ac:dyDescent="0.45">
      <c r="B7" s="3" t="s">
        <v>115</v>
      </c>
      <c r="C7" s="7"/>
      <c r="D7" s="4">
        <v>15</v>
      </c>
      <c r="E7" s="8" t="s">
        <v>115</v>
      </c>
      <c r="F7" s="2" t="s">
        <v>366</v>
      </c>
      <c r="H7" s="1">
        <f>H5 + (D5/ 1440)</f>
        <v>0.43750000000000006</v>
      </c>
      <c r="I7" s="9" t="b">
        <v>1</v>
      </c>
      <c r="J7" s="9" t="b">
        <v>1</v>
      </c>
      <c r="K7" s="9" t="b">
        <v>0</v>
      </c>
      <c r="L7" s="9" t="b">
        <v>0</v>
      </c>
      <c r="M7" s="9" t="b">
        <v>0</v>
      </c>
      <c r="N7" s="9" t="b">
        <v>0</v>
      </c>
      <c r="O7" s="10" t="b">
        <v>0</v>
      </c>
    </row>
    <row r="8" spans="2:15" x14ac:dyDescent="0.45">
      <c r="B8" t="s">
        <v>142</v>
      </c>
      <c r="D8">
        <v>40</v>
      </c>
      <c r="E8" s="2" t="s">
        <v>143</v>
      </c>
      <c r="F8" s="2" t="s">
        <v>370</v>
      </c>
      <c r="H8" s="1">
        <f>H7 + (D7/ 1440)</f>
        <v>0.44791666666666674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1</v>
      </c>
    </row>
    <row r="9" spans="2:15" x14ac:dyDescent="0.45">
      <c r="B9" t="s">
        <v>144</v>
      </c>
      <c r="D9">
        <v>40</v>
      </c>
      <c r="E9" s="2" t="s">
        <v>145</v>
      </c>
      <c r="F9" s="2" t="s">
        <v>369</v>
      </c>
      <c r="H9" s="1">
        <f>H8 + (D8/ 1440)</f>
        <v>0.47569444444444453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1</v>
      </c>
    </row>
    <row r="10" spans="2:15" ht="42.75" x14ac:dyDescent="0.45">
      <c r="B10" t="s">
        <v>71</v>
      </c>
      <c r="D10">
        <v>5</v>
      </c>
      <c r="E10" s="2" t="s">
        <v>117</v>
      </c>
      <c r="F10" s="2" t="s">
        <v>367</v>
      </c>
      <c r="H10" s="1">
        <f>H9 + (D9/ 1440)</f>
        <v>0.50347222222222232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1</v>
      </c>
    </row>
    <row r="11" spans="2:15" ht="85.5" x14ac:dyDescent="0.45">
      <c r="B11" s="3" t="s">
        <v>69</v>
      </c>
      <c r="C11" s="7"/>
      <c r="D11" s="4">
        <v>15</v>
      </c>
      <c r="E11" s="8" t="s">
        <v>116</v>
      </c>
      <c r="F11" s="2" t="s">
        <v>368</v>
      </c>
      <c r="H11" s="1">
        <f>H10 + (D10/ 1440)</f>
        <v>0.50694444444444453</v>
      </c>
      <c r="I11" s="9" t="b">
        <v>1</v>
      </c>
      <c r="J11" s="9" t="b">
        <v>1</v>
      </c>
      <c r="K11" s="9" t="b">
        <v>1</v>
      </c>
      <c r="L11" s="9" t="b">
        <v>1</v>
      </c>
      <c r="M11" s="9" t="b">
        <v>0</v>
      </c>
      <c r="N11" s="9" t="b">
        <v>0</v>
      </c>
      <c r="O11" s="10" t="b">
        <v>0</v>
      </c>
    </row>
    <row r="12" spans="2:15" ht="85.5" x14ac:dyDescent="0.45">
      <c r="B12" s="11" t="s">
        <v>146</v>
      </c>
      <c r="C12" s="12"/>
      <c r="D12" s="13">
        <v>40</v>
      </c>
      <c r="E12" s="24" t="s">
        <v>116</v>
      </c>
      <c r="F12" s="2"/>
      <c r="H12" s="1">
        <f>H11 + (D11/ 1440)</f>
        <v>0.51736111111111116</v>
      </c>
      <c r="I12" s="14" t="b">
        <v>1</v>
      </c>
      <c r="J12" s="14" t="b">
        <v>1</v>
      </c>
      <c r="K12" s="14" t="b">
        <v>1</v>
      </c>
      <c r="L12" s="14" t="b">
        <v>1</v>
      </c>
      <c r="M12" s="14" t="b">
        <v>0</v>
      </c>
      <c r="N12" s="14" t="b">
        <v>0</v>
      </c>
      <c r="O12" s="15" t="b">
        <v>0</v>
      </c>
    </row>
    <row r="13" spans="2:15" x14ac:dyDescent="0.45">
      <c r="F13"/>
      <c r="H13" s="1"/>
      <c r="I13" s="16">
        <f>COUNTIF(wednesday[Copilot],TRUE)</f>
        <v>4</v>
      </c>
      <c r="J13" s="16">
        <f>COUNTIF(wednesday[Claude],TRUE)</f>
        <v>4</v>
      </c>
      <c r="K13" s="16">
        <f>COUNTIF(wednesday[Visual Studio],TRUE)</f>
        <v>2</v>
      </c>
      <c r="L13" s="16">
        <f>COUNTIF(wednesday[VS Code],TRUE)</f>
        <v>2</v>
      </c>
      <c r="M13" s="16">
        <f>COUNTIF(wednesday[GitHub],TRUE)</f>
        <v>0</v>
      </c>
      <c r="N13" s="16">
        <f>COUNTIF(wednesday[AzDO],TRUE)</f>
        <v>0</v>
      </c>
      <c r="O13" s="16">
        <f>COUNTIF(wednesday[Agnostic],TRUE)</f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BF16-0A49-4DE6-BE0D-A8B6D297E051}">
  <dimension ref="B2:O16"/>
  <sheetViews>
    <sheetView topLeftCell="A11" workbookViewId="0">
      <selection activeCell="F15" sqref="F15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25.46484375" style="1" bestFit="1" customWidth="1"/>
    <col min="8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179</v>
      </c>
      <c r="G2" t="s">
        <v>193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15</v>
      </c>
      <c r="E3" s="2"/>
      <c r="F3" s="2"/>
      <c r="H3" s="6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42.75" x14ac:dyDescent="0.45">
      <c r="B4" t="s">
        <v>80</v>
      </c>
      <c r="D4">
        <v>20</v>
      </c>
      <c r="E4" s="2" t="s">
        <v>123</v>
      </c>
      <c r="F4" s="2" t="s">
        <v>343</v>
      </c>
      <c r="H4" s="1">
        <f>H3 + (D3/ 1440)</f>
        <v>0.42708333333333337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1</v>
      </c>
    </row>
    <row r="5" spans="2:15" x14ac:dyDescent="0.45">
      <c r="B5" t="s">
        <v>108</v>
      </c>
      <c r="D5">
        <v>10</v>
      </c>
      <c r="E5" s="2" t="s">
        <v>109</v>
      </c>
      <c r="F5" s="2"/>
      <c r="H5" s="1">
        <f>H4 + (D4/ 1440)</f>
        <v>0.44097222222222227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1</v>
      </c>
      <c r="N5" s="5" t="b">
        <v>1</v>
      </c>
      <c r="O5" s="5" t="b">
        <v>0</v>
      </c>
    </row>
    <row r="6" spans="2:15" x14ac:dyDescent="0.45">
      <c r="B6" t="s">
        <v>207</v>
      </c>
      <c r="D6">
        <v>10</v>
      </c>
      <c r="E6" s="2" t="s">
        <v>208</v>
      </c>
      <c r="F6" s="2" t="s">
        <v>371</v>
      </c>
      <c r="H6" s="1">
        <f>H5 + (D5/ 1440)</f>
        <v>0.44791666666666669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</row>
    <row r="7" spans="2:15" ht="85.5" x14ac:dyDescent="0.45">
      <c r="B7" t="s">
        <v>58</v>
      </c>
      <c r="D7">
        <v>10</v>
      </c>
      <c r="E7" s="2" t="s">
        <v>290</v>
      </c>
      <c r="F7" s="2" t="s">
        <v>319</v>
      </c>
      <c r="H7" s="1">
        <f>H5 + (D5/ 1440)</f>
        <v>0.44791666666666669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1</v>
      </c>
    </row>
    <row r="8" spans="2:15" ht="42.75" x14ac:dyDescent="0.45">
      <c r="B8" t="s">
        <v>64</v>
      </c>
      <c r="D8">
        <v>15</v>
      </c>
      <c r="E8" s="2" t="s">
        <v>119</v>
      </c>
      <c r="F8" t="s">
        <v>344</v>
      </c>
      <c r="H8" s="1">
        <f t="shared" ref="H8:H15" si="0">H7 + (D7/ 1440)</f>
        <v>0.4548611111111111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1</v>
      </c>
    </row>
    <row r="9" spans="2:15" ht="57" x14ac:dyDescent="0.45">
      <c r="B9" t="s">
        <v>65</v>
      </c>
      <c r="D9">
        <v>20</v>
      </c>
      <c r="E9" s="2" t="s">
        <v>120</v>
      </c>
      <c r="F9" t="s">
        <v>345</v>
      </c>
      <c r="H9" s="1">
        <f t="shared" si="0"/>
        <v>0.46527777777777779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1</v>
      </c>
    </row>
    <row r="10" spans="2:15" ht="171" x14ac:dyDescent="0.45">
      <c r="B10" t="s">
        <v>55</v>
      </c>
      <c r="D10">
        <v>45</v>
      </c>
      <c r="E10" s="2" t="s">
        <v>293</v>
      </c>
      <c r="F10" s="2" t="s">
        <v>346</v>
      </c>
      <c r="H10" s="1">
        <f t="shared" si="0"/>
        <v>0.47916666666666669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1</v>
      </c>
      <c r="N10" s="5" t="b">
        <v>1</v>
      </c>
      <c r="O10" s="5" t="b">
        <v>0</v>
      </c>
    </row>
    <row r="11" spans="2:15" x14ac:dyDescent="0.45">
      <c r="B11" t="s">
        <v>29</v>
      </c>
      <c r="D11">
        <v>60</v>
      </c>
      <c r="E11" s="2"/>
      <c r="F11" s="2"/>
      <c r="H11" s="1">
        <f t="shared" si="0"/>
        <v>0.51041666666666674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1</v>
      </c>
    </row>
    <row r="12" spans="2:15" ht="57" x14ac:dyDescent="0.45">
      <c r="B12" t="s">
        <v>57</v>
      </c>
      <c r="D12">
        <v>15</v>
      </c>
      <c r="E12" s="2" t="s">
        <v>118</v>
      </c>
      <c r="F12" s="2" t="s">
        <v>347</v>
      </c>
      <c r="H12" s="1">
        <f t="shared" si="0"/>
        <v>0.55208333333333337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1</v>
      </c>
      <c r="N12" s="5" t="b">
        <v>1</v>
      </c>
      <c r="O12" s="5" t="b">
        <v>0</v>
      </c>
    </row>
    <row r="13" spans="2:15" ht="71.25" x14ac:dyDescent="0.45">
      <c r="B13" t="s">
        <v>63</v>
      </c>
      <c r="D13">
        <v>20</v>
      </c>
      <c r="E13" s="2" t="s">
        <v>306</v>
      </c>
      <c r="F13" s="2" t="s">
        <v>349</v>
      </c>
      <c r="H13" s="1">
        <f t="shared" si="0"/>
        <v>0.5625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1</v>
      </c>
    </row>
    <row r="14" spans="2:15" ht="42.75" x14ac:dyDescent="0.45">
      <c r="B14" t="s">
        <v>66</v>
      </c>
      <c r="D14">
        <v>45</v>
      </c>
      <c r="E14" s="2" t="s">
        <v>121</v>
      </c>
      <c r="F14" t="s">
        <v>372</v>
      </c>
      <c r="H14" s="1">
        <f t="shared" si="0"/>
        <v>0.57638888888888884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1</v>
      </c>
    </row>
    <row r="15" spans="2:15" ht="28.5" x14ac:dyDescent="0.45">
      <c r="B15" t="s">
        <v>67</v>
      </c>
      <c r="D15">
        <v>30</v>
      </c>
      <c r="E15" s="2" t="s">
        <v>96</v>
      </c>
      <c r="F15" s="2" t="s">
        <v>348</v>
      </c>
      <c r="H15" s="1">
        <f t="shared" si="0"/>
        <v>0.60763888888888884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1</v>
      </c>
    </row>
    <row r="16" spans="2:15" x14ac:dyDescent="0.45">
      <c r="F16"/>
      <c r="H16" s="1"/>
      <c r="I16" s="16">
        <f>COUNTIF(thursday[Copilot],TRUE)</f>
        <v>0</v>
      </c>
      <c r="J16" s="16">
        <f>COUNTIF(thursday[Claude],TRUE)</f>
        <v>0</v>
      </c>
      <c r="K16" s="16">
        <f>COUNTIF(thursday[Visual Studio],TRUE)</f>
        <v>0</v>
      </c>
      <c r="L16" s="16">
        <f>COUNTIF(thursday[VS Code],TRUE)</f>
        <v>0</v>
      </c>
      <c r="M16" s="16">
        <f>COUNTIF(thursday[GitHub],TRUE)</f>
        <v>3</v>
      </c>
      <c r="N16" s="16">
        <f>COUNTIF(thursday[AzDO],TRUE)</f>
        <v>3</v>
      </c>
      <c r="O16" s="16">
        <f>COUNTIF(thursday[Agnostic],TRUE)</f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E000-1B92-41C3-BF19-4CD4B65C581F}">
  <dimension ref="B2:O23"/>
  <sheetViews>
    <sheetView topLeftCell="A12" workbookViewId="0">
      <selection activeCell="E5" sqref="E5"/>
    </sheetView>
  </sheetViews>
  <sheetFormatPr defaultRowHeight="14.25" x14ac:dyDescent="0.45"/>
  <cols>
    <col min="2" max="2" width="40.06640625" customWidth="1"/>
    <col min="3" max="3" width="11.06640625" style="1" hidden="1" customWidth="1"/>
    <col min="4" max="4" width="9.796875" customWidth="1"/>
    <col min="5" max="5" width="52.06640625" customWidth="1"/>
    <col min="6" max="6" width="33.06640625" style="1" bestFit="1" customWidth="1"/>
    <col min="8" max="8" width="13.06640625" bestFit="1" customWidth="1"/>
  </cols>
  <sheetData>
    <row r="2" spans="2:15" x14ac:dyDescent="0.45">
      <c r="B2" t="s">
        <v>1</v>
      </c>
      <c r="C2" s="1" t="s">
        <v>2</v>
      </c>
      <c r="D2" t="s">
        <v>3</v>
      </c>
      <c r="E2" t="s">
        <v>4</v>
      </c>
      <c r="F2" t="s">
        <v>179</v>
      </c>
      <c r="G2" t="s">
        <v>193</v>
      </c>
      <c r="H2" s="1" t="s">
        <v>28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2:15" x14ac:dyDescent="0.45">
      <c r="B3" t="s">
        <v>46</v>
      </c>
      <c r="C3" s="1">
        <v>0</v>
      </c>
      <c r="D3">
        <v>15</v>
      </c>
      <c r="E3" s="2"/>
      <c r="F3"/>
      <c r="H3" s="1" t="str">
        <f>H2</f>
        <v>10:00:00 AM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1</v>
      </c>
    </row>
    <row r="4" spans="2:15" ht="42.75" x14ac:dyDescent="0.45">
      <c r="B4" t="s">
        <v>81</v>
      </c>
      <c r="D4">
        <v>5</v>
      </c>
      <c r="E4" s="2" t="s">
        <v>132</v>
      </c>
      <c r="F4" t="s">
        <v>350</v>
      </c>
      <c r="H4" s="1">
        <f>H3 + (D3/ 1440)</f>
        <v>0.42708333333333337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1</v>
      </c>
    </row>
    <row r="5" spans="2:15" ht="57" x14ac:dyDescent="0.45">
      <c r="B5" t="s">
        <v>72</v>
      </c>
      <c r="C5" s="1">
        <v>4.8611111111111112E-3</v>
      </c>
      <c r="D5">
        <v>5</v>
      </c>
      <c r="E5" s="2" t="s">
        <v>124</v>
      </c>
      <c r="F5"/>
      <c r="H5" s="1">
        <f>H4 + (D4/ 1440)</f>
        <v>0.43055555555555558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1</v>
      </c>
    </row>
    <row r="6" spans="2:15" ht="85.5" x14ac:dyDescent="0.45">
      <c r="B6" t="s">
        <v>74</v>
      </c>
      <c r="D6">
        <v>10</v>
      </c>
      <c r="E6" s="2" t="s">
        <v>126</v>
      </c>
      <c r="F6" s="25" t="s">
        <v>351</v>
      </c>
      <c r="H6" s="1">
        <f>H5 + (D5/ 1440)</f>
        <v>0.43402777777777779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1</v>
      </c>
    </row>
    <row r="7" spans="2:15" ht="71.25" x14ac:dyDescent="0.45">
      <c r="B7" t="s">
        <v>75</v>
      </c>
      <c r="D7">
        <v>5</v>
      </c>
      <c r="E7" s="2" t="s">
        <v>127</v>
      </c>
      <c r="F7" s="25" t="s">
        <v>352</v>
      </c>
      <c r="H7" s="1">
        <f>H6 + (D6/ 1440)</f>
        <v>0.44097222222222221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1</v>
      </c>
    </row>
    <row r="8" spans="2:15" ht="57" x14ac:dyDescent="0.45">
      <c r="B8" t="s">
        <v>214</v>
      </c>
      <c r="E8" s="2" t="s">
        <v>213</v>
      </c>
      <c r="F8" t="s">
        <v>353</v>
      </c>
      <c r="H8" s="1">
        <f>H7 + (D7/ 1440)</f>
        <v>0.44444444444444442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</row>
    <row r="9" spans="2:15" ht="42.75" x14ac:dyDescent="0.45">
      <c r="B9" t="s">
        <v>73</v>
      </c>
      <c r="D9">
        <v>15</v>
      </c>
      <c r="E9" s="2" t="s">
        <v>125</v>
      </c>
      <c r="F9" t="s">
        <v>354</v>
      </c>
      <c r="H9" s="1">
        <f>H7 + (D7/ 1440)</f>
        <v>0.44444444444444442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1</v>
      </c>
    </row>
    <row r="10" spans="2:15" ht="71.25" x14ac:dyDescent="0.45">
      <c r="B10" t="s">
        <v>273</v>
      </c>
      <c r="E10" s="2" t="s">
        <v>272</v>
      </c>
      <c r="F10" t="s">
        <v>355</v>
      </c>
      <c r="H10" s="1">
        <f>H9 + (D9/ 1440)</f>
        <v>0.4548611111111111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</row>
    <row r="11" spans="2:15" ht="57" x14ac:dyDescent="0.45">
      <c r="B11" t="s">
        <v>76</v>
      </c>
      <c r="D11">
        <v>15</v>
      </c>
      <c r="E11" s="2" t="s">
        <v>128</v>
      </c>
      <c r="F11" t="s">
        <v>356</v>
      </c>
      <c r="H11" s="1">
        <f>H9 + (D9/ 1440)</f>
        <v>0.4548611111111111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1</v>
      </c>
    </row>
    <row r="12" spans="2:15" ht="57" x14ac:dyDescent="0.45">
      <c r="B12" t="s">
        <v>77</v>
      </c>
      <c r="D12">
        <v>20</v>
      </c>
      <c r="E12" s="2" t="s">
        <v>129</v>
      </c>
      <c r="F12" t="s">
        <v>357</v>
      </c>
      <c r="H12" s="1">
        <f t="shared" ref="H12:H22" si="0">H11 + (D11/ 1440)</f>
        <v>0.46527777777777779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1</v>
      </c>
    </row>
    <row r="13" spans="2:15" ht="85.5" x14ac:dyDescent="0.45">
      <c r="B13" t="s">
        <v>78</v>
      </c>
      <c r="D13">
        <v>15</v>
      </c>
      <c r="E13" s="2" t="s">
        <v>130</v>
      </c>
      <c r="F13" s="1" t="s">
        <v>358</v>
      </c>
      <c r="H13" s="1">
        <f t="shared" si="0"/>
        <v>0.47916666666666669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1</v>
      </c>
    </row>
    <row r="14" spans="2:15" ht="28.5" x14ac:dyDescent="0.45">
      <c r="B14" t="s">
        <v>82</v>
      </c>
      <c r="D14">
        <v>5</v>
      </c>
      <c r="E14" s="2" t="s">
        <v>133</v>
      </c>
      <c r="F14" t="s">
        <v>359</v>
      </c>
      <c r="H14" s="1">
        <f t="shared" si="0"/>
        <v>0.48958333333333337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1</v>
      </c>
    </row>
    <row r="15" spans="2:15" x14ac:dyDescent="0.45">
      <c r="B15" t="s">
        <v>29</v>
      </c>
      <c r="D15">
        <v>60</v>
      </c>
      <c r="E15" s="2"/>
      <c r="F15"/>
      <c r="H15" s="1" t="e">
        <f>#REF! + (#REF!/ 1440)</f>
        <v>#REF!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1</v>
      </c>
    </row>
    <row r="16" spans="2:15" ht="57" x14ac:dyDescent="0.45">
      <c r="B16" t="s">
        <v>79</v>
      </c>
      <c r="D16">
        <v>20</v>
      </c>
      <c r="E16" s="2" t="s">
        <v>131</v>
      </c>
      <c r="F16" t="s">
        <v>360</v>
      </c>
      <c r="H16" s="1" t="e">
        <f t="shared" si="0"/>
        <v>#REF!</v>
      </c>
      <c r="I16" s="5" t="b">
        <v>0</v>
      </c>
      <c r="J16" s="5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1</v>
      </c>
    </row>
    <row r="17" spans="2:15" ht="85.5" x14ac:dyDescent="0.45">
      <c r="B17" t="s">
        <v>83</v>
      </c>
      <c r="D17">
        <v>40</v>
      </c>
      <c r="E17" s="2" t="s">
        <v>134</v>
      </c>
      <c r="F17" t="s">
        <v>236</v>
      </c>
      <c r="H17" s="1" t="e">
        <f t="shared" si="0"/>
        <v>#REF!</v>
      </c>
      <c r="I17" s="5" t="b">
        <v>0</v>
      </c>
      <c r="J17" s="5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0</v>
      </c>
    </row>
    <row r="18" spans="2:15" x14ac:dyDescent="0.45">
      <c r="E18" s="2"/>
      <c r="F18" t="s">
        <v>373</v>
      </c>
      <c r="H18" s="1" t="e">
        <f>H17 + (D17/ 1440)</f>
        <v>#REF!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</row>
    <row r="19" spans="2:15" ht="42.75" x14ac:dyDescent="0.45">
      <c r="B19" t="s">
        <v>84</v>
      </c>
      <c r="D19">
        <v>10</v>
      </c>
      <c r="E19" s="2" t="s">
        <v>135</v>
      </c>
      <c r="F19" t="s">
        <v>362</v>
      </c>
      <c r="H19" s="1" t="e">
        <f>H17 + (D17/ 1440)</f>
        <v>#REF!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1</v>
      </c>
      <c r="N19" s="5" t="b">
        <v>1</v>
      </c>
      <c r="O19" s="5" t="b">
        <v>0</v>
      </c>
    </row>
    <row r="20" spans="2:15" ht="28.5" x14ac:dyDescent="0.45">
      <c r="B20" t="s">
        <v>85</v>
      </c>
      <c r="D20">
        <v>20</v>
      </c>
      <c r="E20" s="2" t="s">
        <v>136</v>
      </c>
      <c r="F20" t="s">
        <v>361</v>
      </c>
      <c r="H20" s="1" t="e">
        <f>#REF! + (#REF!/ 1440)</f>
        <v>#REF!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1</v>
      </c>
      <c r="N20" s="5" t="b">
        <v>1</v>
      </c>
      <c r="O20" s="5" t="b">
        <v>0</v>
      </c>
    </row>
    <row r="21" spans="2:15" ht="57" x14ac:dyDescent="0.45">
      <c r="B21" t="s">
        <v>86</v>
      </c>
      <c r="D21">
        <v>10</v>
      </c>
      <c r="E21" s="2" t="s">
        <v>137</v>
      </c>
      <c r="F21"/>
      <c r="H21" s="1" t="e">
        <f>#REF! + (#REF!/ 1440)</f>
        <v>#REF!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1</v>
      </c>
      <c r="N21" s="5" t="b">
        <v>1</v>
      </c>
      <c r="O21" s="5" t="b">
        <v>0</v>
      </c>
    </row>
    <row r="22" spans="2:15" ht="99.75" x14ac:dyDescent="0.45">
      <c r="B22" t="s">
        <v>87</v>
      </c>
      <c r="D22">
        <v>10</v>
      </c>
      <c r="E22" s="2" t="s">
        <v>138</v>
      </c>
      <c r="F22"/>
      <c r="H22" s="1" t="e">
        <f t="shared" si="0"/>
        <v>#REF!</v>
      </c>
      <c r="I22" s="5" t="b">
        <v>0</v>
      </c>
      <c r="J22" s="5" t="b">
        <v>0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1</v>
      </c>
    </row>
    <row r="23" spans="2:15" x14ac:dyDescent="0.45">
      <c r="F23"/>
      <c r="H23" s="1"/>
      <c r="I23" s="16">
        <f>COUNTIF(friday[Copilot],TRUE)</f>
        <v>0</v>
      </c>
      <c r="J23" s="16">
        <f>COUNTIF(friday[Claude],TRUE)</f>
        <v>0</v>
      </c>
      <c r="K23" s="16">
        <f>COUNTIF(friday[Visual Studio],TRUE)</f>
        <v>0</v>
      </c>
      <c r="L23" s="16">
        <f>COUNTIF(friday[VS Code],TRUE)</f>
        <v>0</v>
      </c>
      <c r="M23" s="16">
        <f>COUNTIF(friday[GitHub],TRUE)</f>
        <v>3</v>
      </c>
      <c r="N23" s="16">
        <f>COUNTIF(friday[AzDO],TRUE)</f>
        <v>3</v>
      </c>
      <c r="O23" s="16">
        <f>COUNTIF(friday[Agnostic],TRUE)</f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7F64-64AA-48D6-B233-5D19F1E2205C}">
  <dimension ref="B2:I33"/>
  <sheetViews>
    <sheetView workbookViewId="0">
      <selection activeCell="H9" sqref="H9"/>
    </sheetView>
  </sheetViews>
  <sheetFormatPr defaultRowHeight="14.25" x14ac:dyDescent="0.45"/>
  <cols>
    <col min="2" max="2" width="10.19921875" bestFit="1" customWidth="1"/>
    <col min="3" max="4" width="11.19921875" bestFit="1" customWidth="1"/>
    <col min="5" max="5" width="14.06640625" bestFit="1" customWidth="1"/>
    <col min="6" max="6" width="10" bestFit="1" customWidth="1"/>
    <col min="7" max="7" width="18.796875" customWidth="1"/>
    <col min="8" max="8" width="7.53125" bestFit="1" customWidth="1"/>
    <col min="9" max="9" width="10.265625" bestFit="1" customWidth="1"/>
  </cols>
  <sheetData>
    <row r="2" spans="2:9" x14ac:dyDescent="0.45">
      <c r="C2" s="26" t="s">
        <v>161</v>
      </c>
      <c r="D2" s="26"/>
      <c r="E2" s="26" t="s">
        <v>159</v>
      </c>
      <c r="F2" s="26"/>
      <c r="G2" s="26" t="s">
        <v>160</v>
      </c>
      <c r="H2" s="26"/>
    </row>
    <row r="3" spans="2:9" x14ac:dyDescent="0.45">
      <c r="B3" s="17" t="s">
        <v>148</v>
      </c>
      <c r="C3" s="17" t="s">
        <v>39</v>
      </c>
      <c r="D3" s="17" t="s">
        <v>40</v>
      </c>
      <c r="E3" s="17" t="s">
        <v>41</v>
      </c>
      <c r="F3" s="17" t="s">
        <v>42</v>
      </c>
      <c r="G3" s="17" t="s">
        <v>43</v>
      </c>
      <c r="H3" s="17" t="s">
        <v>44</v>
      </c>
      <c r="I3" s="17" t="s">
        <v>45</v>
      </c>
    </row>
    <row r="4" spans="2:9" ht="14.65" thickBot="1" x14ac:dyDescent="0.5">
      <c r="B4" s="18" t="s">
        <v>147</v>
      </c>
      <c r="C4" s="20">
        <f>COUNTIF(monday[Copilot],TRUE)</f>
        <v>7</v>
      </c>
      <c r="D4" s="20">
        <f>COUNTIF(monday[Claude],TRUE)</f>
        <v>7</v>
      </c>
      <c r="E4" s="20">
        <f>COUNTIF(monday[Visual Studio],TRUE)</f>
        <v>1</v>
      </c>
      <c r="F4" s="20">
        <f>COUNTIF(monday[VS Code],TRUE)</f>
        <v>1</v>
      </c>
      <c r="G4" s="20">
        <f>COUNTIF(monday[GitHub],TRUE)</f>
        <v>2</v>
      </c>
      <c r="H4" s="20">
        <f>COUNTIF(monday[AzDO],TRUE)</f>
        <v>2</v>
      </c>
      <c r="I4" s="20">
        <f>COUNTIF(monday[Agnostic],TRUE)</f>
        <v>16</v>
      </c>
    </row>
    <row r="5" spans="2:9" ht="15" thickTop="1" thickBot="1" x14ac:dyDescent="0.5">
      <c r="B5" s="19" t="s">
        <v>149</v>
      </c>
      <c r="C5" s="20">
        <f>COUNTIF(tuesday[Copilot],TRUE)</f>
        <v>8</v>
      </c>
      <c r="D5" s="20">
        <f>COUNTIF(tuesday[Claude],TRUE)</f>
        <v>8</v>
      </c>
      <c r="E5" s="20">
        <f>COUNTIF(tuesday[Visual Studio],TRUE)</f>
        <v>2</v>
      </c>
      <c r="F5" s="20">
        <f>COUNTIF(tuesday[VS Code],TRUE)</f>
        <v>1</v>
      </c>
      <c r="G5" s="20">
        <f>COUNTIF(tuesday[GitHub],TRUE)</f>
        <v>1</v>
      </c>
      <c r="H5" s="20">
        <f>COUNTIF(tuesday[AzDO],TRUE)</f>
        <v>2</v>
      </c>
      <c r="I5" s="20">
        <f>COUNTIF(tuesday[Agnostic],TRUE)</f>
        <v>11</v>
      </c>
    </row>
    <row r="6" spans="2:9" ht="15" thickTop="1" thickBot="1" x14ac:dyDescent="0.5">
      <c r="B6" s="19" t="s">
        <v>150</v>
      </c>
      <c r="C6" s="20">
        <f>COUNTIF(wednesday[Copilot],TRUE)</f>
        <v>4</v>
      </c>
      <c r="D6" s="20">
        <f>COUNTIF(wednesday[Claude],TRUE)</f>
        <v>4</v>
      </c>
      <c r="E6" s="20">
        <f>COUNTIF(wednesday[Visual Studio],TRUE)</f>
        <v>2</v>
      </c>
      <c r="F6" s="20">
        <f>COUNTIF(wednesday[VS Code],TRUE)</f>
        <v>2</v>
      </c>
      <c r="G6" s="20">
        <f>COUNTIF(wednesday[GitHub],TRUE)</f>
        <v>0</v>
      </c>
      <c r="H6" s="20">
        <f>COUNTIF(wednesday[AzDO],TRUE)</f>
        <v>0</v>
      </c>
      <c r="I6" s="20">
        <f>COUNTIF(wednesday[Agnostic],TRUE)</f>
        <v>4</v>
      </c>
    </row>
    <row r="7" spans="2:9" ht="15" thickTop="1" thickBot="1" x14ac:dyDescent="0.5">
      <c r="B7" s="19" t="s">
        <v>151</v>
      </c>
      <c r="C7" s="20">
        <f>COUNTIF(thursday[Copilot],TRUE)</f>
        <v>0</v>
      </c>
      <c r="D7" s="20">
        <f>COUNTIF(thursday[Claude],TRUE)</f>
        <v>0</v>
      </c>
      <c r="E7" s="20">
        <f>COUNTIF(thursday[Visual Studio],TRUE)</f>
        <v>0</v>
      </c>
      <c r="F7" s="20">
        <f>COUNTIF(thursday[VS Code],TRUE)</f>
        <v>0</v>
      </c>
      <c r="G7" s="20">
        <f>COUNTIF(thursday[GitHub],TRUE)</f>
        <v>3</v>
      </c>
      <c r="H7" s="20">
        <f>COUNTIF(thursday[AzDO],TRUE)</f>
        <v>3</v>
      </c>
      <c r="I7" s="20">
        <f>COUNTIF(thursday[Agnostic],TRUE)</f>
        <v>9</v>
      </c>
    </row>
    <row r="8" spans="2:9" ht="15" thickTop="1" thickBot="1" x14ac:dyDescent="0.5">
      <c r="B8" s="19" t="s">
        <v>152</v>
      </c>
      <c r="C8" s="20">
        <f>COUNTIF(friday[Copilot],TRUE)</f>
        <v>0</v>
      </c>
      <c r="D8" s="20">
        <f>COUNTIF(friday[Claude],TRUE)</f>
        <v>0</v>
      </c>
      <c r="E8" s="20">
        <f>COUNTIF(friday[Visual Studio],TRUE)</f>
        <v>0</v>
      </c>
      <c r="F8" s="20">
        <f>COUNTIF(friday[VS Code],TRUE)</f>
        <v>0</v>
      </c>
      <c r="G8" s="20">
        <f>COUNTIF(friday[GitHub],TRUE)</f>
        <v>3</v>
      </c>
      <c r="H8" s="20">
        <f>COUNTIF(friday[AzDO],TRUE)</f>
        <v>3</v>
      </c>
      <c r="I8" s="20">
        <f>COUNTIF(friday[Agnostic],TRUE)</f>
        <v>13</v>
      </c>
    </row>
    <row r="9" spans="2:9" ht="14.65" thickTop="1" x14ac:dyDescent="0.45">
      <c r="B9" s="19"/>
      <c r="C9" s="21">
        <f>SUM(Totals[Copilot])</f>
        <v>19</v>
      </c>
      <c r="D9" s="21">
        <f>SUM(Totals[Claude])</f>
        <v>19</v>
      </c>
      <c r="E9" s="21">
        <f>SUM(Totals[Visual Studio])</f>
        <v>5</v>
      </c>
      <c r="F9" s="21">
        <f>SUM(Totals[VS Code])</f>
        <v>4</v>
      </c>
      <c r="G9" s="21">
        <f>SUM(Totals[GitHub])</f>
        <v>9</v>
      </c>
      <c r="H9" s="21">
        <f>SUM(Totals[AzDO])</f>
        <v>10</v>
      </c>
      <c r="I9" s="21">
        <f>SUM(Totals[Agnostic])</f>
        <v>53</v>
      </c>
    </row>
    <row r="11" spans="2:9" x14ac:dyDescent="0.45">
      <c r="B11" t="s">
        <v>156</v>
      </c>
    </row>
    <row r="12" spans="2:9" x14ac:dyDescent="0.45">
      <c r="B12" t="s">
        <v>155</v>
      </c>
    </row>
    <row r="13" spans="2:9" x14ac:dyDescent="0.45">
      <c r="B13" t="s">
        <v>153</v>
      </c>
    </row>
    <row r="14" spans="2:9" x14ac:dyDescent="0.45">
      <c r="B14" t="s">
        <v>154</v>
      </c>
    </row>
    <row r="16" spans="2:9" x14ac:dyDescent="0.45">
      <c r="C16" s="22" t="s">
        <v>158</v>
      </c>
      <c r="D16" s="22" t="s">
        <v>159</v>
      </c>
      <c r="E16" s="22" t="s">
        <v>160</v>
      </c>
    </row>
    <row r="17" spans="2:8" x14ac:dyDescent="0.45">
      <c r="C17" s="22" t="s">
        <v>39</v>
      </c>
      <c r="D17" s="22" t="s">
        <v>41</v>
      </c>
      <c r="E17" s="22" t="s">
        <v>43</v>
      </c>
    </row>
    <row r="18" spans="2:8" x14ac:dyDescent="0.45">
      <c r="C18" s="22" t="s">
        <v>39</v>
      </c>
      <c r="D18" s="22" t="s">
        <v>41</v>
      </c>
      <c r="E18" s="22" t="s">
        <v>44</v>
      </c>
    </row>
    <row r="19" spans="2:8" x14ac:dyDescent="0.45">
      <c r="C19" s="22" t="s">
        <v>39</v>
      </c>
      <c r="D19" s="22" t="s">
        <v>42</v>
      </c>
      <c r="E19" s="22" t="s">
        <v>44</v>
      </c>
    </row>
    <row r="20" spans="2:8" x14ac:dyDescent="0.45">
      <c r="C20" s="22" t="s">
        <v>157</v>
      </c>
      <c r="D20" s="22" t="s">
        <v>41</v>
      </c>
      <c r="E20" s="22" t="s">
        <v>43</v>
      </c>
    </row>
    <row r="21" spans="2:8" x14ac:dyDescent="0.45">
      <c r="C21" s="22" t="s">
        <v>157</v>
      </c>
      <c r="D21" s="22" t="s">
        <v>41</v>
      </c>
      <c r="E21" s="22" t="s">
        <v>44</v>
      </c>
    </row>
    <row r="22" spans="2:8" x14ac:dyDescent="0.45">
      <c r="C22" s="22" t="s">
        <v>157</v>
      </c>
      <c r="D22" s="22" t="s">
        <v>42</v>
      </c>
      <c r="E22" s="22" t="s">
        <v>43</v>
      </c>
    </row>
    <row r="23" spans="2:8" x14ac:dyDescent="0.45">
      <c r="C23" s="22" t="s">
        <v>157</v>
      </c>
      <c r="D23" s="22" t="s">
        <v>42</v>
      </c>
      <c r="E23" s="22" t="s">
        <v>44</v>
      </c>
    </row>
    <row r="25" spans="2:8" x14ac:dyDescent="0.45">
      <c r="B25" t="s">
        <v>162</v>
      </c>
    </row>
    <row r="28" spans="2:8" x14ac:dyDescent="0.45">
      <c r="G28" t="s">
        <v>168</v>
      </c>
      <c r="H28" t="s">
        <v>169</v>
      </c>
    </row>
    <row r="29" spans="2:8" x14ac:dyDescent="0.45">
      <c r="G29" t="s">
        <v>163</v>
      </c>
      <c r="H29">
        <v>8</v>
      </c>
    </row>
    <row r="30" spans="2:8" x14ac:dyDescent="0.45">
      <c r="G30" t="s">
        <v>164</v>
      </c>
      <c r="H30">
        <v>8</v>
      </c>
    </row>
    <row r="31" spans="2:8" x14ac:dyDescent="0.45">
      <c r="G31" t="s">
        <v>165</v>
      </c>
      <c r="H31">
        <v>2</v>
      </c>
    </row>
    <row r="32" spans="2:8" x14ac:dyDescent="0.45">
      <c r="G32" t="s">
        <v>166</v>
      </c>
      <c r="H32">
        <v>4</v>
      </c>
    </row>
    <row r="33" spans="7:8" x14ac:dyDescent="0.45">
      <c r="G33" t="s">
        <v>167</v>
      </c>
      <c r="H33">
        <v>2</v>
      </c>
    </row>
  </sheetData>
  <mergeCells count="3">
    <mergeCell ref="C2:D2"/>
    <mergeCell ref="E2:F2"/>
    <mergeCell ref="G2:H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D4B9-8091-457D-8F80-D7E20EC6E158}">
  <dimension ref="C2:E12"/>
  <sheetViews>
    <sheetView workbookViewId="0">
      <selection activeCell="C7" sqref="C7"/>
    </sheetView>
  </sheetViews>
  <sheetFormatPr defaultRowHeight="14.25" x14ac:dyDescent="0.45"/>
  <cols>
    <col min="3" max="3" width="35.46484375" bestFit="1" customWidth="1"/>
    <col min="4" max="4" width="35.46484375" customWidth="1"/>
    <col min="5" max="5" width="10.265625" customWidth="1"/>
  </cols>
  <sheetData>
    <row r="2" spans="3:5" x14ac:dyDescent="0.45">
      <c r="C2" t="s">
        <v>172</v>
      </c>
    </row>
    <row r="4" spans="3:5" x14ac:dyDescent="0.45">
      <c r="C4" t="s">
        <v>170</v>
      </c>
      <c r="D4" t="s">
        <v>4</v>
      </c>
      <c r="E4" t="s">
        <v>171</v>
      </c>
    </row>
    <row r="5" spans="3:5" ht="28.5" x14ac:dyDescent="0.45">
      <c r="C5" t="str">
        <f>monday!C7</f>
        <v>GitHub Copilot UI Tour</v>
      </c>
      <c r="D5" s="2" t="s">
        <v>173</v>
      </c>
      <c r="E5">
        <v>1</v>
      </c>
    </row>
    <row r="6" spans="3:5" ht="42.75" x14ac:dyDescent="0.45">
      <c r="C6" t="e">
        <f>monday!#REF!</f>
        <v>#REF!</v>
      </c>
      <c r="D6" s="2" t="s">
        <v>174</v>
      </c>
      <c r="E6">
        <v>1</v>
      </c>
    </row>
    <row r="7" spans="3:5" ht="28.5" x14ac:dyDescent="0.45">
      <c r="C7" t="str">
        <f>tuesday!B17</f>
        <v>Code Explanation and Analysis</v>
      </c>
      <c r="D7" s="2" t="s">
        <v>173</v>
      </c>
      <c r="E7">
        <v>2</v>
      </c>
    </row>
    <row r="8" spans="3:5" ht="28.5" x14ac:dyDescent="0.45">
      <c r="C8" t="str">
        <f>wednesday!B11</f>
        <v>MCP (Model Context Protocol) Servers</v>
      </c>
      <c r="D8" s="2" t="s">
        <v>175</v>
      </c>
      <c r="E8">
        <v>2</v>
      </c>
    </row>
    <row r="9" spans="3:5" ht="28.5" x14ac:dyDescent="0.45">
      <c r="C9" t="str">
        <f>wednesday!B12</f>
        <v>Exercise: MCP Servers</v>
      </c>
      <c r="D9" s="2" t="s">
        <v>176</v>
      </c>
      <c r="E9">
        <v>2</v>
      </c>
    </row>
    <row r="10" spans="3:5" ht="28.5" x14ac:dyDescent="0.45">
      <c r="C10" t="s">
        <v>163</v>
      </c>
      <c r="D10" s="2" t="s">
        <v>177</v>
      </c>
      <c r="E10">
        <v>8</v>
      </c>
    </row>
    <row r="11" spans="3:5" ht="28.5" x14ac:dyDescent="0.45">
      <c r="C11" t="s">
        <v>164</v>
      </c>
      <c r="D11" s="2" t="s">
        <v>178</v>
      </c>
      <c r="E11">
        <v>8</v>
      </c>
    </row>
    <row r="12" spans="3:5" x14ac:dyDescent="0.45">
      <c r="E12">
        <f>SUM(Table9[Hours])</f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decks</vt:lpstr>
      <vt:lpstr>monday</vt:lpstr>
      <vt:lpstr>tuesday</vt:lpstr>
      <vt:lpstr>wednesday</vt:lpstr>
      <vt:lpstr>thursday</vt:lpstr>
      <vt:lpstr>friday</vt:lpstr>
      <vt:lpstr>totals</vt:lpstr>
      <vt:lpstr>GE Mods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Miller</dc:creator>
  <cp:lastModifiedBy>John Miller</cp:lastModifiedBy>
  <dcterms:created xsi:type="dcterms:W3CDTF">2026-01-14T21:13:18Z</dcterms:created>
  <dcterms:modified xsi:type="dcterms:W3CDTF">2026-03-27T14:38:36Z</dcterms:modified>
</cp:coreProperties>
</file>