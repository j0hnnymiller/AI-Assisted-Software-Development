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4AE6F30E-8C88-4D4B-8D46-8A1209F263F8}" xr6:coauthVersionLast="47" xr6:coauthVersionMax="47" xr10:uidLastSave="{00000000-0000-0000-0000-000000000000}"/>
  <bookViews>
    <workbookView xWindow="-110" yWindow="-110" windowWidth="38620" windowHeight="21100" activeTab="5" xr2:uid="{88B4C266-A938-4700-99B3-B927BE83C57A}"/>
  </bookViews>
  <sheets>
    <sheet name="monday" sheetId="2" r:id="rId1"/>
    <sheet name="tuesday" sheetId="4" r:id="rId2"/>
    <sheet name="wednesday" sheetId="5" r:id="rId3"/>
    <sheet name="thursday" sheetId="6" r:id="rId4"/>
    <sheet name="friday" sheetId="7" r:id="rId5"/>
    <sheet name="tota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8" l="1"/>
  <c r="I8" i="8"/>
  <c r="H8" i="8"/>
  <c r="G8" i="8"/>
  <c r="F8" i="8"/>
  <c r="E8" i="8"/>
  <c r="D8" i="8"/>
  <c r="C8" i="8"/>
  <c r="M24" i="7"/>
  <c r="L24" i="7"/>
  <c r="K24" i="7"/>
  <c r="J24" i="7"/>
  <c r="I24" i="7"/>
  <c r="H24" i="7"/>
  <c r="G24" i="7"/>
  <c r="I7" i="8"/>
  <c r="H7" i="8"/>
  <c r="G7" i="8"/>
  <c r="F7" i="8"/>
  <c r="E7" i="8"/>
  <c r="D7" i="8"/>
  <c r="C7" i="8"/>
  <c r="M15" i="6"/>
  <c r="L15" i="6"/>
  <c r="K15" i="6"/>
  <c r="J15" i="6"/>
  <c r="I15" i="6"/>
  <c r="H15" i="6"/>
  <c r="G15" i="6"/>
  <c r="I6" i="8"/>
  <c r="H6" i="8"/>
  <c r="G6" i="8"/>
  <c r="F6" i="8"/>
  <c r="E6" i="8"/>
  <c r="D6" i="8"/>
  <c r="C6" i="8"/>
  <c r="M11" i="5"/>
  <c r="L11" i="5"/>
  <c r="K11" i="5"/>
  <c r="J11" i="5"/>
  <c r="I11" i="5"/>
  <c r="H11" i="5"/>
  <c r="G11" i="5"/>
  <c r="I5" i="8"/>
  <c r="H5" i="8"/>
  <c r="G5" i="8"/>
  <c r="G9" i="8" s="1"/>
  <c r="F5" i="8"/>
  <c r="E5" i="8"/>
  <c r="D5" i="8"/>
  <c r="C5" i="8"/>
  <c r="C4" i="8"/>
  <c r="D4" i="8"/>
  <c r="D9" i="8" s="1"/>
  <c r="E4" i="8"/>
  <c r="E9" i="8" s="1"/>
  <c r="F4" i="8"/>
  <c r="F9" i="8" s="1"/>
  <c r="G4" i="8"/>
  <c r="H4" i="8"/>
  <c r="H9" i="8" s="1"/>
  <c r="I4" i="8"/>
  <c r="I9" i="8" s="1"/>
  <c r="M27" i="4"/>
  <c r="L27" i="4"/>
  <c r="K27" i="4"/>
  <c r="J27" i="4"/>
  <c r="I27" i="4"/>
  <c r="H27" i="4"/>
  <c r="G27" i="4"/>
  <c r="M30" i="2"/>
  <c r="L30" i="2"/>
  <c r="K30" i="2"/>
  <c r="J30" i="2"/>
  <c r="I30" i="2"/>
  <c r="H30" i="2"/>
  <c r="G30" i="2"/>
  <c r="F5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10" i="6"/>
  <c r="F11" i="6" s="1"/>
  <c r="F12" i="6" s="1"/>
  <c r="F13" i="6" s="1"/>
  <c r="F14" i="6" s="1"/>
  <c r="F10" i="5"/>
  <c r="F5" i="5"/>
  <c r="F6" i="5" s="1"/>
  <c r="F7" i="5" s="1"/>
  <c r="F8" i="5" s="1"/>
  <c r="F9" i="5" s="1"/>
  <c r="F4" i="5"/>
  <c r="F10" i="4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3" i="7"/>
  <c r="F3" i="6"/>
  <c r="F4" i="6" s="1"/>
  <c r="F5" i="6" s="1"/>
  <c r="F6" i="6" s="1"/>
  <c r="F7" i="6" s="1"/>
  <c r="F8" i="6" s="1"/>
  <c r="F9" i="6" s="1"/>
  <c r="F3" i="5"/>
  <c r="F3" i="4"/>
  <c r="F3" i="2"/>
  <c r="F4" i="2" s="1"/>
  <c r="F4" i="4" l="1"/>
  <c r="F5" i="4" s="1"/>
  <c r="F6" i="4" s="1"/>
  <c r="F7" i="4" s="1"/>
  <c r="F8" i="4" s="1"/>
  <c r="F9" i="4" s="1"/>
  <c r="F5" i="2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4" i="7"/>
</calcChain>
</file>

<file path=xl/sharedStrings.xml><?xml version="1.0" encoding="utf-8"?>
<sst xmlns="http://schemas.openxmlformats.org/spreadsheetml/2006/main" count="280" uniqueCount="194">
  <si>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</si>
  <si>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</si>
  <si>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</si>
  <si>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</si>
  <si>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</si>
  <si>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</si>
  <si>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</si>
  <si>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Why AI-assisted development matters, productivity gains, career impacts</t>
  </si>
  <si>
    <t>How Large Language Models work - transformers, tokenization, training process</t>
  </si>
  <si>
    <t>Data privacy, IP protection, licensing models, enterprise policies</t>
  </si>
  <si>
    <t>GitHub Copilot UI Tour</t>
  </si>
  <si>
    <t>Chat window, context management, inline suggestions, extensions</t>
  </si>
  <si>
    <t>Model selection, premium quotas, extension configuration</t>
  </si>
  <si>
    <t>Creating command-line calculator in C#, building, running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</si>
  <si>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</si>
  <si>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</si>
  <si>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</si>
  <si>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</si>
  <si>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</si>
  <si>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Pipeline Debugging</t>
  </si>
  <si>
    <t>Troubleshooting build failures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</si>
  <si>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</si>
  <si>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</si>
  <si>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</si>
  <si>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</si>
  <si>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</si>
  <si>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</si>
  <si>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</si>
  <si>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</si>
  <si>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</si>
  <si>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</si>
  <si>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</si>
  <si>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</si>
  <si>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</si>
  <si>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</si>
  <si>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Lab: Calculator Project - Setup &amp; Basic Implementation</t>
  </si>
  <si>
    <t>Lab: Calculator Project - Testing</t>
  </si>
  <si>
    <t>Lab: Code Coverage Analysis</t>
  </si>
  <si>
    <t>Lab: Dependency Management &amp; Troubleshooting</t>
  </si>
  <si>
    <t>Lab: Best Practices Review &amp; Code Quality</t>
  </si>
  <si>
    <t>Lab: Model Comparison Exercise</t>
  </si>
  <si>
    <t>Lab: Chat Management &amp; Workflow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</si>
  <si>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</si>
  <si>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</si>
  <si>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</si>
  <si>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</si>
  <si>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</si>
  <si>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</si>
  <si>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Hands-On Exercise: Creating Prompt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</si>
  <si>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</si>
  <si>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</si>
  <si>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</si>
  <si>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</si>
  <si>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</si>
  <si>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</si>
  <si>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</si>
  <si>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</si>
  <si>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</si>
  <si>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</si>
  <si>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</si>
  <si>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</si>
  <si>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Creating Instruction Files with Sessions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</si>
  <si>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</si>
  <si>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</si>
  <si>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</si>
  <si>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</si>
  <si>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</si>
  <si>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</si>
  <si>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</si>
  <si>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</si>
  <si>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</si>
  <si>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</si>
  <si>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</si>
  <si>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</si>
  <si>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 Generation Capabilities</t>
  </si>
  <si>
    <t>Prompt Guidance Discussion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</si>
  <si>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</si>
  <si>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</si>
  <si>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</si>
  <si>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</si>
  <si>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</si>
  <si>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</si>
  <si>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</si>
  <si>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</si>
  <si>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</si>
  <si>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</si>
  <si>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</si>
  <si>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</si>
  <si>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</si>
  <si>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</si>
  <si>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</si>
  <si>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</si>
  <si>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</si>
  <si>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</si>
  <si>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</si>
  <si>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</si>
  <si>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</si>
  <si>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</si>
  <si>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</si>
  <si>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</si>
  <si>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</si>
  <si>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</si>
  <si>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</si>
  <si>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</si>
  <si>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</si>
  <si>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</si>
  <si>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</si>
  <si>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</si>
  <si>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</si>
  <si>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</si>
  <si>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</si>
  <si>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Using background sessions to create multiple instruction files concurrently; Session management interface; Reviewing generated instruction files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</si>
  <si>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</si>
  <si>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</si>
  <si>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</si>
  <si>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</si>
  <si>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</si>
  <si>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Chat Organization; Context Preservation; Quick Chat Practice; Chat History Review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</si>
  <si>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</si>
  <si>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</si>
  <si>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</si>
  <si>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</si>
  <si>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</si>
  <si>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</si>
  <si>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</si>
  <si>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</si>
  <si>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</si>
  <si>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</si>
  <si>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</si>
  <si>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</si>
  <si>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</si>
  <si>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</si>
  <si>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</si>
  <si>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</si>
  <si>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Structured prompting for AI-assisted development; Effective prompt examples; Avoiding literal copying of activity descriptions; Phrase prompts for architectural analysis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</si>
  <si>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</si>
  <si>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</si>
  <si>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</si>
  <si>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</si>
  <si>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</si>
  <si>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</t>
  </si>
  <si>
    <t>Start simple, one agent per pain point; Define clear responsibilities; Restrict tools appropriately; Refine based on usage; Create org/enterprise agents for common tasks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</si>
  <si>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</si>
  <si>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</si>
  <si>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Test suite importance; Avoid risky refactors; Fast deployment cycles; Feature flags for incomplete features; Incremental changes with well-isolated boundaries</t>
  </si>
  <si>
    <t>Scenario: JWT secrets hardcoded in source control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</si>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</sst>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 applyFont="1" applyBorder="1"/>
    <xf numFmtId="2" fontId="0" fillId="0" borderId="8" xfId="0" applyNumberFormat="1" applyFon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15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border outline="0">
        <top style="double">
          <color theme="4"/>
        </top>
      </border>
    </dxf>
    <dxf>
      <border outline="0">
        <bottom style="thin">
          <color theme="4" tint="0.39997558519241921"/>
        </bottom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B2:M30" totalsRowCount="1">
  <autoFilter ref="B2:M29" xr:uid="{A2A7F544-4367-4018-8DC9-81CA31EC2612}"/>
  <tableColumns count="12">
    <tableColumn id="1" xr3:uid="{9D61239E-9B4A-4932-AB0D-EB9D9921B03D}" name="Topic"/>
    <tableColumn id="4" xr3:uid="{CF6246D8-1B6E-46F2-8EF3-564EEFD687CC}" name="Start Time" dataDxfId="114" totalsRowDxfId="78"/>
    <tableColumn id="5" xr3:uid="{8B6AF1D4-2216-4B85-BA7D-212BA502015B}" name="Duration"/>
    <tableColumn id="6" xr3:uid="{FC719AB4-7DA0-4CF0-A12A-95985F5C6D2E}" name="Description"/>
    <tableColumn id="7" xr3:uid="{3FD97CAC-BAE8-4A66-B92F-17907FB235F2}" name="10:00:00 AM" dataDxfId="113" totalsRowDxfId="77">
      <calculatedColumnFormula>F2 + (D2/ 1440)</calculatedColumnFormula>
    </tableColumn>
    <tableColumn id="3" xr3:uid="{8F73E11B-57E7-46FD-9BC8-9F7C420BAC38}" name="Copilot" totalsRowFunction="custom" dataDxfId="112" totalsRowDxfId="76">
      <totalsRowFormula>COUNTIF(monday[Copilot],TRUE)</totalsRowFormula>
    </tableColumn>
    <tableColumn id="8" xr3:uid="{00BFAB92-E224-43B6-A531-DC61138A0CA0}" name="Claude" totalsRowFunction="custom" dataDxfId="84" totalsRowDxfId="75">
      <totalsRowFormula>COUNTIF(monday[Claude],TRUE)</totalsRowFormula>
    </tableColumn>
    <tableColumn id="9" xr3:uid="{B5C7E70A-4192-4A1A-BB50-152DBFD69377}" name="Visual Studio" totalsRowFunction="custom" dataDxfId="83" totalsRowDxfId="74">
      <totalsRowFormula>COUNTIF(monday[Visual Studio],TRUE)</totalsRowFormula>
    </tableColumn>
    <tableColumn id="10" xr3:uid="{BA3C10AA-29E4-463F-BAEF-8EB3E8945B13}" name="VS Code" totalsRowFunction="custom" dataDxfId="82" totalsRowDxfId="73">
      <totalsRowFormula>COUNTIF(monday[VS Code],TRUE)</totalsRowFormula>
    </tableColumn>
    <tableColumn id="11" xr3:uid="{F8980FA3-83DA-47C4-AFB7-6CF6A869D269}" name="GitHub" totalsRowFunction="custom" dataDxfId="81" totalsRowDxfId="72">
      <totalsRowFormula>COUNTIF(monday[GitHub],TRUE)</totalsRowFormula>
    </tableColumn>
    <tableColumn id="12" xr3:uid="{D8820A44-D6A6-42E2-B181-305F5EE9EEC3}" name="AzDO" totalsRowFunction="custom" dataDxfId="80" totalsRowDxfId="71">
      <totalsRowFormula>COUNTIF(monday[AzDO],TRUE)</totalsRowFormula>
    </tableColumn>
    <tableColumn id="13" xr3:uid="{14EF33C0-8AAA-4364-B51A-665DB2BE5F06}" name="Agnostic" totalsRowFunction="custom" dataDxfId="79" totalsRowDxfId="70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M27" totalsRowCount="1">
  <autoFilter ref="B2:M26" xr:uid="{A2A7F544-4367-4018-8DC9-81CA31EC2612}"/>
  <tableColumns count="12">
    <tableColumn id="1" xr3:uid="{A79E8443-E3FC-4A2C-83B2-0E581E8FF9B8}" name="Topic"/>
    <tableColumn id="4" xr3:uid="{74997477-BD6E-4263-B07D-B967AADDCC4B}" name="Start Time" dataDxfId="69" totalsRowDxfId="60"/>
    <tableColumn id="5" xr3:uid="{C37F49DC-8E37-4F56-B136-B64A492DADC4}" name="Duration"/>
    <tableColumn id="6" xr3:uid="{DF401DF3-0654-4023-93D4-9F6D3305611B}" name="Description"/>
    <tableColumn id="7" xr3:uid="{AC2B6381-3A66-4370-B6B2-C3E9DCB6FA43}" name="10:00:00 AM" dataDxfId="68" totalsRowDxfId="59">
      <calculatedColumnFormula>F2 + (D2/ 1440)</calculatedColumnFormula>
    </tableColumn>
    <tableColumn id="3" xr3:uid="{B16B187E-86E2-4252-8947-27912248E347}" name="Copilot" totalsRowFunction="custom" dataDxfId="67" totalsRowDxfId="58">
      <totalsRowFormula>COUNTIF(tuesday[Copilot],TRUE)</totalsRowFormula>
    </tableColumn>
    <tableColumn id="8" xr3:uid="{328999B8-FD8B-4839-8311-45FC5EB6D50E}" name="Claude" totalsRowFunction="custom" dataDxfId="66" totalsRowDxfId="57">
      <totalsRowFormula>COUNTIF(tuesday[Claude],TRUE)</totalsRowFormula>
    </tableColumn>
    <tableColumn id="9" xr3:uid="{34EA6EBA-9872-4064-B9A2-2F4F1923665B}" name="Visual Studio" totalsRowFunction="custom" dataDxfId="65" totalsRowDxfId="56">
      <totalsRowFormula>COUNTIF(tuesday[Visual Studio],TRUE)</totalsRowFormula>
    </tableColumn>
    <tableColumn id="10" xr3:uid="{A69DFCC9-26FD-4F9A-AE74-129C7FB342B4}" name="VS Code" totalsRowFunction="custom" dataDxfId="64" totalsRowDxfId="55">
      <totalsRowFormula>COUNTIF(tuesday[VS Code],TRUE)</totalsRowFormula>
    </tableColumn>
    <tableColumn id="11" xr3:uid="{A0474679-DF85-45F0-9952-0B19F3B91232}" name="GitHub" totalsRowFunction="custom" dataDxfId="63" totalsRowDxfId="54">
      <totalsRowFormula>COUNTIF(tuesday[GitHub],TRUE)</totalsRowFormula>
    </tableColumn>
    <tableColumn id="12" xr3:uid="{7CE7CEA0-1D58-4456-BEE3-FACC7BEBA621}" name="AzDO" totalsRowFunction="custom" dataDxfId="62" totalsRowDxfId="53">
      <totalsRowFormula>COUNTIF(tuesday[AzDO],TRUE)</totalsRowFormula>
    </tableColumn>
    <tableColumn id="13" xr3:uid="{1C626DD1-4625-488A-B7AC-16AA057A1A0F}" name="Agnostic" totalsRowFunction="custom" dataDxfId="61" totalsRowDxfId="52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M11" totalsRowCount="1">
  <autoFilter ref="B2:M10" xr:uid="{A2A7F544-4367-4018-8DC9-81CA31EC2612}"/>
  <tableColumns count="12">
    <tableColumn id="1" xr3:uid="{9E7625E1-2B56-4752-B6F8-BF1B9CB4F92C}" name="Topic"/>
    <tableColumn id="4" xr3:uid="{DC994249-3F03-42D7-9369-8492F63A3609}" name="Start Time" dataDxfId="111" totalsRowDxfId="46"/>
    <tableColumn id="5" xr3:uid="{78218F89-BD58-4DD6-9B0D-DCE1B0CA5E74}" name="Duration"/>
    <tableColumn id="6" xr3:uid="{9BF78A26-DFD1-4FA6-8A13-90E044BF9CF6}" name="Description"/>
    <tableColumn id="7" xr3:uid="{5CB8B7F0-73B0-4AB6-8CAD-73AAC7120336}" name="10:00:00 AM" dataDxfId="110" totalsRowDxfId="45">
      <calculatedColumnFormula>F2 + (D2/ 1440)</calculatedColumnFormula>
    </tableColumn>
    <tableColumn id="3" xr3:uid="{52C57E48-213E-4B1B-B6CB-F6F6B19597C6}" name="Copilot" totalsRowFunction="custom" dataDxfId="109" totalsRowDxfId="44">
      <totalsRowFormula>COUNTIF(wednesday[Copilot],TRUE)</totalsRowFormula>
    </tableColumn>
    <tableColumn id="8" xr3:uid="{0D5BA76C-D529-453A-9FAA-BF02D249B691}" name="Claude" totalsRowFunction="custom" dataDxfId="108" totalsRowDxfId="43">
      <totalsRowFormula>COUNTIF(wednesday[Claude],TRUE)</totalsRowFormula>
    </tableColumn>
    <tableColumn id="9" xr3:uid="{153E0A8B-602A-4078-A22C-AA416D599897}" name="Visual Studio" totalsRowFunction="custom" dataDxfId="107" totalsRowDxfId="42">
      <totalsRowFormula>COUNTIF(wednesday[Visual Studio],TRUE)</totalsRowFormula>
    </tableColumn>
    <tableColumn id="10" xr3:uid="{03C0F805-9CE7-4D2A-998E-1F7DD639C9BE}" name="VS Code" totalsRowFunction="custom" dataDxfId="106" totalsRowDxfId="41">
      <totalsRowFormula>COUNTIF(wednesday[VS Code],TRUE)</totalsRowFormula>
    </tableColumn>
    <tableColumn id="11" xr3:uid="{7C08E3F4-0D07-4067-8415-25B5EA773AA1}" name="GitHub" totalsRowFunction="custom" dataDxfId="105" totalsRowDxfId="40">
      <totalsRowFormula>COUNTIF(wednesday[GitHub],TRUE)</totalsRowFormula>
    </tableColumn>
    <tableColumn id="12" xr3:uid="{47D5B1A8-5588-43F5-8363-ACE644E9CB39}" name="AzDO" totalsRowFunction="custom" dataDxfId="104" totalsRowDxfId="39">
      <totalsRowFormula>COUNTIF(wednesday[AzDO],TRUE)</totalsRowFormula>
    </tableColumn>
    <tableColumn id="13" xr3:uid="{DB68B21D-4B3C-4D28-AA56-E23ED49750CA}" name="Agnostic" totalsRowFunction="custom" dataDxfId="103" totalsRowDxfId="38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M15" totalsRowCount="1">
  <autoFilter ref="B2:M14" xr:uid="{A2A7F544-4367-4018-8DC9-81CA31EC2612}"/>
  <tableColumns count="12">
    <tableColumn id="1" xr3:uid="{D80C761D-4E7E-4D1A-862A-6769A723C40C}" name="Topic"/>
    <tableColumn id="4" xr3:uid="{7A86A47A-4F2B-4910-A4AF-BDDD69C8349B}" name="Start Time" dataDxfId="102" totalsRowDxfId="37"/>
    <tableColumn id="5" xr3:uid="{F640E5CE-B0CE-4586-AB64-2F877DC1D9FB}" name="Duration"/>
    <tableColumn id="6" xr3:uid="{2594D38F-32AB-4663-AE35-3BC8F9A7567A}" name="Description"/>
    <tableColumn id="7" xr3:uid="{A26CFC55-26C1-4F30-803D-BBF5981DFCA5}" name="10:00:00 AM" dataDxfId="101" totalsRowDxfId="36">
      <calculatedColumnFormula>F2 + (D2/ 1440)</calculatedColumnFormula>
    </tableColumn>
    <tableColumn id="3" xr3:uid="{040567B8-43A2-489E-A9CC-73859959BD5C}" name="Copilot" totalsRowFunction="custom" dataDxfId="100" totalsRowDxfId="35">
      <totalsRowFormula>COUNTIF(thursday[Copilot],TRUE)</totalsRowFormula>
    </tableColumn>
    <tableColumn id="8" xr3:uid="{8123314B-943D-472F-983B-8523B69999C0}" name="Claude" totalsRowFunction="custom" dataDxfId="99" totalsRowDxfId="34">
      <totalsRowFormula>COUNTIF(thursday[Claude],TRUE)</totalsRowFormula>
    </tableColumn>
    <tableColumn id="9" xr3:uid="{2498F0CF-6AFF-47E1-979B-DE081B427120}" name="Visual Studio" totalsRowFunction="custom" dataDxfId="98" totalsRowDxfId="33">
      <totalsRowFormula>COUNTIF(thursday[Visual Studio],TRUE)</totalsRowFormula>
    </tableColumn>
    <tableColumn id="10" xr3:uid="{913F6E6D-CD6B-4637-B962-BB89DDCA6740}" name="VS Code" totalsRowFunction="custom" dataDxfId="97" totalsRowDxfId="32">
      <totalsRowFormula>COUNTIF(thursday[VS Code],TRUE)</totalsRowFormula>
    </tableColumn>
    <tableColumn id="11" xr3:uid="{BC331ED4-BE71-4300-9771-6BE4E6F8E51C}" name="GitHub" totalsRowFunction="custom" dataDxfId="96" totalsRowDxfId="31">
      <totalsRowFormula>COUNTIF(thursday[GitHub],TRUE)</totalsRowFormula>
    </tableColumn>
    <tableColumn id="12" xr3:uid="{D1E8199D-E549-4A4D-AE32-B59854B704A5}" name="AzDO" totalsRowFunction="custom" dataDxfId="95" totalsRowDxfId="30">
      <totalsRowFormula>COUNTIF(thursday[AzDO],TRUE)</totalsRowFormula>
    </tableColumn>
    <tableColumn id="13" xr3:uid="{761C22D5-EF2F-4F87-9F85-B289C4EAFA34}" name="Agnostic" totalsRowFunction="custom" dataDxfId="94" totalsRowDxfId="29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M24" totalsRowCount="1">
  <autoFilter ref="B2:M23" xr:uid="{A2A7F544-4367-4018-8DC9-81CA31EC2612}"/>
  <tableColumns count="12">
    <tableColumn id="1" xr3:uid="{26906033-DBB1-4850-8A65-B0AABB8EB5B7}" name="Topic"/>
    <tableColumn id="4" xr3:uid="{BDBF7E0D-1B9B-4EA6-8393-3A73A6DB40AA}" name="Start Time" dataDxfId="93" totalsRowDxfId="28"/>
    <tableColumn id="5" xr3:uid="{B474477F-00C6-4EE7-A8CC-63E5347553DE}" name="Duration"/>
    <tableColumn id="6" xr3:uid="{0AB30286-B74F-4E70-B4F1-CBD65236A925}" name="Description"/>
    <tableColumn id="7" xr3:uid="{17FCC81E-88B4-40C8-ABC1-B8AD7F02B4EA}" name="10:00:00 AM" dataDxfId="92" totalsRowDxfId="27">
      <calculatedColumnFormula>F2 + (D2/ 1440)</calculatedColumnFormula>
    </tableColumn>
    <tableColumn id="3" xr3:uid="{E3F3161D-9131-432E-959B-E6F0A1281AC5}" name="Copilot" totalsRowFunction="custom" dataDxfId="91" totalsRowDxfId="26">
      <totalsRowFormula>COUNTIF(friday[Copilot],TRUE)</totalsRowFormula>
    </tableColumn>
    <tableColumn id="8" xr3:uid="{4141EF85-371E-4375-8C00-1C37E83D6E69}" name="Claude" totalsRowFunction="custom" dataDxfId="90" totalsRowDxfId="25">
      <totalsRowFormula>COUNTIF(friday[Claude],TRUE)</totalsRowFormula>
    </tableColumn>
    <tableColumn id="9" xr3:uid="{9E14D6DD-E032-4528-9C0C-58B736CC7A80}" name="Visual Studio" totalsRowFunction="custom" dataDxfId="89" totalsRowDxfId="24">
      <totalsRowFormula>COUNTIF(friday[Visual Studio],TRUE)</totalsRowFormula>
    </tableColumn>
    <tableColumn id="10" xr3:uid="{8F46D2CC-5CBC-48F4-9A4B-3CC4AEAEB311}" name="VS Code" totalsRowFunction="custom" dataDxfId="88" totalsRowDxfId="23">
      <totalsRowFormula>COUNTIF(friday[VS Code],TRUE)</totalsRowFormula>
    </tableColumn>
    <tableColumn id="11" xr3:uid="{D81D028C-428B-4074-8804-73407B951898}" name="GitHub" totalsRowFunction="custom" dataDxfId="87" totalsRowDxfId="22">
      <totalsRowFormula>COUNTIF(friday[GitHub],TRUE)</totalsRowFormula>
    </tableColumn>
    <tableColumn id="12" xr3:uid="{4FF24485-BCF2-4202-B4EF-7AD6E0292975}" name="AzDO" totalsRowFunction="custom" dataDxfId="86" totalsRowDxfId="21">
      <totalsRowFormula>COUNTIF(friday[AzDO],TRUE)</totalsRowFormula>
    </tableColumn>
    <tableColumn id="13" xr3:uid="{EF5A8DFC-6137-42BC-B9EE-012CF110EF5A}" name="Agnostic" totalsRowFunction="custom" dataDxfId="85" totalsRowDxfId="20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48" dataDxfId="47" headerRowBorderDxfId="50" tableBorderDxfId="51" totalsRowBorderDxfId="49">
  <autoFilter ref="B3:I8" xr:uid="{7BE215E2-9049-4E20-81CC-83A554BF1101}"/>
  <tableColumns count="8">
    <tableColumn id="8" xr3:uid="{C90FAB4F-EDD1-47CD-AEF9-BF085C892241}" name="DOW" dataDxfId="11" totalsRowDxfId="19"/>
    <tableColumn id="1" xr3:uid="{0B80151C-6332-4045-885D-4147B93941CE}" name="Copilot" totalsRowFunction="custom" dataDxfId="10" totalsRowDxfId="18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9" totalsRowDxfId="17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8" totalsRowDxfId="16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7" totalsRowDxfId="15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6" totalsRowDxfId="14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5" totalsRowDxfId="13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4" totalsRowDxfId="12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0">
  <autoFilter ref="C16:E23" xr:uid="{912E96BC-0A44-4EB1-8D25-1D93E5F52B1A}"/>
  <tableColumns count="3">
    <tableColumn id="1" xr3:uid="{591572D6-A8EA-493D-8473-133E4763BB61}" name="AIA" dataDxfId="3"/>
    <tableColumn id="2" xr3:uid="{34DA7748-7B6D-4305-8183-2EF0146134B7}" name="IDE" dataDxfId="2"/>
    <tableColumn id="3" xr3:uid="{F11CA94F-DD1D-4587-93E7-6E32450B9602}" name="SCC/WI/P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B2:M30"/>
  <sheetViews>
    <sheetView workbookViewId="0">
      <selection activeCell="G30" sqref="G30:M30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  <col min="7" max="7" width="10.81640625" bestFit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ht="29" x14ac:dyDescent="0.35">
      <c r="B3" t="s">
        <v>5</v>
      </c>
      <c r="C3" s="1">
        <v>0</v>
      </c>
      <c r="D3">
        <v>15</v>
      </c>
      <c r="E3" s="2" t="s">
        <v>6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ht="29" x14ac:dyDescent="0.35">
      <c r="B4" t="s">
        <v>42</v>
      </c>
      <c r="C4" s="1">
        <v>4.8611111111111112E-3</v>
      </c>
      <c r="D4">
        <v>10</v>
      </c>
      <c r="E4" s="2" t="s">
        <v>7</v>
      </c>
      <c r="F4" s="1">
        <f>$F3 + ($D3/ 1440)</f>
        <v>0.42708333333333337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1</v>
      </c>
    </row>
    <row r="5" spans="2:13" x14ac:dyDescent="0.35">
      <c r="B5" t="s">
        <v>45</v>
      </c>
      <c r="D5">
        <v>10</v>
      </c>
      <c r="E5" s="2" t="s">
        <v>121</v>
      </c>
      <c r="F5" s="1">
        <f t="shared" ref="F5:F29" si="0">$F4 + ($D4/ 1440)</f>
        <v>0.43402777777777779</v>
      </c>
      <c r="G5" s="5" t="b">
        <v>1</v>
      </c>
      <c r="H5" s="5" t="b">
        <v>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</row>
    <row r="6" spans="2:13" ht="29" x14ac:dyDescent="0.35">
      <c r="B6" t="s">
        <v>10</v>
      </c>
      <c r="C6" s="1">
        <v>2.5694444444444443E-2</v>
      </c>
      <c r="D6">
        <v>15</v>
      </c>
      <c r="E6" s="2" t="s">
        <v>11</v>
      </c>
      <c r="F6" s="1">
        <f t="shared" si="0"/>
        <v>0.44097222222222221</v>
      </c>
      <c r="G6" s="5" t="b">
        <v>1</v>
      </c>
      <c r="H6" s="5" t="b">
        <v>1</v>
      </c>
      <c r="I6" s="5" t="b">
        <v>1</v>
      </c>
      <c r="J6" s="5" t="b">
        <v>1</v>
      </c>
      <c r="K6" s="5" t="b">
        <v>0</v>
      </c>
      <c r="L6" s="5" t="b">
        <v>0</v>
      </c>
      <c r="M6" s="5" t="b">
        <v>0</v>
      </c>
    </row>
    <row r="7" spans="2:13" x14ac:dyDescent="0.35">
      <c r="B7" t="s">
        <v>35</v>
      </c>
      <c r="D7">
        <v>70</v>
      </c>
      <c r="E7" s="2" t="s">
        <v>13</v>
      </c>
      <c r="F7" s="1">
        <f t="shared" si="0"/>
        <v>0.4513888888888889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36</v>
      </c>
      <c r="D8">
        <v>0</v>
      </c>
      <c r="E8" s="2" t="s">
        <v>14</v>
      </c>
      <c r="F8" s="1">
        <f t="shared" si="0"/>
        <v>0.5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t="s">
        <v>37</v>
      </c>
      <c r="D9">
        <v>0</v>
      </c>
      <c r="E9" s="2" t="s">
        <v>15</v>
      </c>
      <c r="F9" s="1">
        <f t="shared" si="0"/>
        <v>0.5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1</v>
      </c>
    </row>
    <row r="10" spans="2:13" ht="29" x14ac:dyDescent="0.35">
      <c r="B10" t="s">
        <v>38</v>
      </c>
      <c r="D10">
        <v>0</v>
      </c>
      <c r="E10" s="2" t="s">
        <v>120</v>
      </c>
      <c r="F10" s="1">
        <f t="shared" si="0"/>
        <v>0.5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</row>
    <row r="11" spans="2:13" ht="29" x14ac:dyDescent="0.35">
      <c r="B11" t="s">
        <v>39</v>
      </c>
      <c r="D11">
        <v>0</v>
      </c>
      <c r="E11" s="2" t="s">
        <v>119</v>
      </c>
      <c r="F11" s="1">
        <f t="shared" si="0"/>
        <v>0.5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1</v>
      </c>
    </row>
    <row r="12" spans="2:13" ht="29" x14ac:dyDescent="0.35">
      <c r="B12" t="s">
        <v>40</v>
      </c>
      <c r="D12">
        <v>0</v>
      </c>
      <c r="E12" s="2" t="s">
        <v>118</v>
      </c>
      <c r="F12" s="1">
        <f t="shared" si="0"/>
        <v>0.5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</row>
    <row r="13" spans="2:13" ht="29" x14ac:dyDescent="0.35">
      <c r="B13" t="s">
        <v>41</v>
      </c>
      <c r="D13">
        <v>0</v>
      </c>
      <c r="E13" s="2" t="s">
        <v>117</v>
      </c>
      <c r="F13" s="1">
        <f t="shared" si="0"/>
        <v>0.5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1</v>
      </c>
    </row>
    <row r="14" spans="2:13" ht="29" x14ac:dyDescent="0.35">
      <c r="B14" t="s">
        <v>0</v>
      </c>
      <c r="C14" s="1">
        <v>1.2500000000000001E-2</v>
      </c>
      <c r="D14">
        <v>0</v>
      </c>
      <c r="E14" s="2" t="s">
        <v>16</v>
      </c>
      <c r="F14" s="1">
        <f t="shared" si="0"/>
        <v>0.5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1</v>
      </c>
      <c r="L14" s="5" t="b">
        <v>1</v>
      </c>
      <c r="M14" s="5" t="b">
        <v>0</v>
      </c>
    </row>
    <row r="15" spans="2:13" x14ac:dyDescent="0.35">
      <c r="B15" t="s">
        <v>17</v>
      </c>
      <c r="C15" s="1">
        <v>2.361111111111111E-2</v>
      </c>
      <c r="D15">
        <v>0</v>
      </c>
      <c r="E15" s="2" t="s">
        <v>18</v>
      </c>
      <c r="F15" s="1">
        <f t="shared" si="0"/>
        <v>0.5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</row>
    <row r="16" spans="2:13" x14ac:dyDescent="0.35">
      <c r="B16" t="s">
        <v>19</v>
      </c>
      <c r="C16" s="1">
        <v>2.5694444444444443E-2</v>
      </c>
      <c r="D16">
        <v>0</v>
      </c>
      <c r="E16" s="2" t="s">
        <v>20</v>
      </c>
      <c r="F16" s="1">
        <f t="shared" si="0"/>
        <v>0.5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</row>
    <row r="17" spans="2:13" x14ac:dyDescent="0.35">
      <c r="B17" t="s">
        <v>21</v>
      </c>
      <c r="C17" s="1">
        <v>2.7777777777777776E-2</v>
      </c>
      <c r="D17">
        <v>0</v>
      </c>
      <c r="E17" s="2" t="s">
        <v>22</v>
      </c>
      <c r="F17" s="1">
        <f t="shared" si="0"/>
        <v>0.5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1</v>
      </c>
    </row>
    <row r="18" spans="2:13" x14ac:dyDescent="0.35">
      <c r="B18" t="s">
        <v>23</v>
      </c>
      <c r="C18" s="1">
        <v>3.1944444444444442E-2</v>
      </c>
      <c r="D18">
        <v>0</v>
      </c>
      <c r="E18" s="2" t="s">
        <v>24</v>
      </c>
      <c r="F18" s="1">
        <f t="shared" si="0"/>
        <v>0.5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1</v>
      </c>
    </row>
    <row r="19" spans="2:13" x14ac:dyDescent="0.35">
      <c r="B19" t="s">
        <v>25</v>
      </c>
      <c r="C19" s="1">
        <v>3.888888888888889E-2</v>
      </c>
      <c r="D19">
        <v>0</v>
      </c>
      <c r="E19" s="2" t="s">
        <v>26</v>
      </c>
      <c r="F19" s="1">
        <f t="shared" si="0"/>
        <v>0.5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1</v>
      </c>
    </row>
    <row r="20" spans="2:13" x14ac:dyDescent="0.35">
      <c r="B20" t="s">
        <v>27</v>
      </c>
      <c r="C20" s="1">
        <v>4.8611111111111112E-2</v>
      </c>
      <c r="D20">
        <v>0</v>
      </c>
      <c r="E20" s="2" t="s">
        <v>28</v>
      </c>
      <c r="F20" s="1">
        <f t="shared" si="0"/>
        <v>0.5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</row>
    <row r="21" spans="2:13" x14ac:dyDescent="0.35">
      <c r="B21" t="s">
        <v>34</v>
      </c>
      <c r="D21">
        <v>60</v>
      </c>
      <c r="E21" s="2"/>
      <c r="F21" s="1">
        <f>$F20 + ($D20/ 1440)</f>
        <v>0.5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1</v>
      </c>
    </row>
    <row r="22" spans="2:13" x14ac:dyDescent="0.35">
      <c r="B22" t="s">
        <v>31</v>
      </c>
      <c r="C22" s="1">
        <v>8.0555555555555561E-2</v>
      </c>
      <c r="D22">
        <v>15</v>
      </c>
      <c r="E22" s="2" t="s">
        <v>32</v>
      </c>
      <c r="F22" s="1">
        <f>$F21 + ($D21/ 1440)</f>
        <v>0.54166666666666663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</row>
    <row r="23" spans="2:13" x14ac:dyDescent="0.35">
      <c r="B23" t="s">
        <v>29</v>
      </c>
      <c r="C23" s="1">
        <v>5.9027777777777776E-2</v>
      </c>
      <c r="D23">
        <v>15</v>
      </c>
      <c r="E23" s="2" t="s">
        <v>30</v>
      </c>
      <c r="F23" s="1">
        <f t="shared" si="0"/>
        <v>0.55208333333333326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1</v>
      </c>
    </row>
    <row r="24" spans="2:13" ht="58" x14ac:dyDescent="0.35">
      <c r="B24" t="s">
        <v>51</v>
      </c>
      <c r="D24">
        <v>40</v>
      </c>
      <c r="E24" s="2" t="s">
        <v>114</v>
      </c>
      <c r="F24" s="1">
        <f t="shared" si="0"/>
        <v>0.56249999999999989</v>
      </c>
      <c r="G24" s="5" t="b">
        <v>1</v>
      </c>
      <c r="H24" s="5" t="b">
        <v>1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</row>
    <row r="25" spans="2:13" ht="29" x14ac:dyDescent="0.35">
      <c r="B25" t="s">
        <v>47</v>
      </c>
      <c r="D25">
        <v>5</v>
      </c>
      <c r="E25" s="2" t="s">
        <v>113</v>
      </c>
      <c r="F25" s="1">
        <f t="shared" si="0"/>
        <v>0.59027777777777768</v>
      </c>
      <c r="G25" s="5" t="b">
        <v>1</v>
      </c>
      <c r="H25" s="5" t="b">
        <v>1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</row>
    <row r="26" spans="2:13" ht="43.5" x14ac:dyDescent="0.35">
      <c r="B26" t="s">
        <v>50</v>
      </c>
      <c r="D26">
        <v>15</v>
      </c>
      <c r="E26" s="2" t="s">
        <v>112</v>
      </c>
      <c r="F26" s="1">
        <f t="shared" si="0"/>
        <v>0.59374999999999989</v>
      </c>
      <c r="G26" s="5" t="b">
        <v>1</v>
      </c>
      <c r="H26" s="5" t="b">
        <v>1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</row>
    <row r="27" spans="2:13" x14ac:dyDescent="0.35">
      <c r="B27" t="s">
        <v>84</v>
      </c>
      <c r="D27">
        <v>20</v>
      </c>
      <c r="E27" t="s">
        <v>149</v>
      </c>
      <c r="F27" s="1">
        <f t="shared" si="0"/>
        <v>0.60416666666666652</v>
      </c>
      <c r="G27" s="5" t="b">
        <v>1</v>
      </c>
      <c r="H27" s="5" t="b">
        <v>1</v>
      </c>
      <c r="I27" s="5" t="b">
        <v>0</v>
      </c>
      <c r="J27" s="5" t="b">
        <v>0</v>
      </c>
      <c r="K27" s="5" t="b">
        <v>0</v>
      </c>
      <c r="L27" s="5" t="b">
        <v>0</v>
      </c>
      <c r="M27" s="5" t="b">
        <v>0</v>
      </c>
    </row>
    <row r="28" spans="2:13" x14ac:dyDescent="0.35">
      <c r="B28" t="s">
        <v>61</v>
      </c>
      <c r="D28">
        <v>10</v>
      </c>
      <c r="E28" t="s">
        <v>111</v>
      </c>
      <c r="F28" s="1">
        <f t="shared" si="0"/>
        <v>0.61805555555555536</v>
      </c>
      <c r="G28" s="5" t="b">
        <v>1</v>
      </c>
      <c r="H28" s="5" t="b">
        <v>1</v>
      </c>
      <c r="I28" s="5" t="b">
        <v>1</v>
      </c>
      <c r="J28" s="5" t="b">
        <v>1</v>
      </c>
      <c r="K28" s="5" t="b">
        <v>0</v>
      </c>
      <c r="L28" s="5" t="b">
        <v>0</v>
      </c>
      <c r="M28" s="5" t="b">
        <v>0</v>
      </c>
    </row>
    <row r="29" spans="2:13" x14ac:dyDescent="0.35">
      <c r="B29" t="s">
        <v>70</v>
      </c>
      <c r="D29">
        <v>5</v>
      </c>
      <c r="E29" t="s">
        <v>108</v>
      </c>
      <c r="F29" s="1">
        <f t="shared" si="0"/>
        <v>0.62499999999999978</v>
      </c>
      <c r="G29" s="5" t="b">
        <v>1</v>
      </c>
      <c r="H29" s="5" t="b">
        <v>1</v>
      </c>
      <c r="I29" s="5" t="b">
        <v>0</v>
      </c>
      <c r="J29" s="5" t="b">
        <v>0</v>
      </c>
      <c r="K29" s="5" t="b">
        <v>0</v>
      </c>
      <c r="L29" s="5" t="b">
        <v>0</v>
      </c>
      <c r="M29" s="5" t="b">
        <v>0</v>
      </c>
    </row>
    <row r="30" spans="2:13" x14ac:dyDescent="0.35">
      <c r="G30" s="16">
        <f>COUNTIF(monday[Copilot],TRUE)</f>
        <v>8</v>
      </c>
      <c r="H30" s="16">
        <f>COUNTIF(monday[Claude],TRUE)</f>
        <v>8</v>
      </c>
      <c r="I30" s="16">
        <f>COUNTIF(monday[Visual Studio],TRUE)</f>
        <v>2</v>
      </c>
      <c r="J30" s="16">
        <f>COUNTIF(monday[VS Code],TRUE)</f>
        <v>2</v>
      </c>
      <c r="K30" s="16">
        <f>COUNTIF(monday[GitHub],TRUE)</f>
        <v>3</v>
      </c>
      <c r="L30" s="16">
        <f>COUNTIF(monday[AzDO],TRUE)</f>
        <v>3</v>
      </c>
      <c r="M30" s="16">
        <f>COUNTIF(monday[Agnostic],TRUE)</f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M27"/>
  <sheetViews>
    <sheetView workbookViewId="0">
      <selection activeCell="G27" sqref="G27:M27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10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s="3" t="s">
        <v>68</v>
      </c>
      <c r="C4" s="7"/>
      <c r="D4" s="4">
        <v>5</v>
      </c>
      <c r="E4" s="4" t="s">
        <v>109</v>
      </c>
      <c r="F4" s="1">
        <f>F3 + (D3/ 1440)</f>
        <v>0.4236111111111111</v>
      </c>
      <c r="G4" s="5" t="b">
        <v>1</v>
      </c>
      <c r="H4" s="5" t="b">
        <v>1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</row>
    <row r="5" spans="2:13" x14ac:dyDescent="0.35">
      <c r="B5" s="3" t="s">
        <v>62</v>
      </c>
      <c r="C5" s="7"/>
      <c r="D5" s="4">
        <v>5</v>
      </c>
      <c r="E5" s="4" t="s">
        <v>110</v>
      </c>
      <c r="F5" s="1">
        <f t="shared" ref="F5:F26" si="0">F4 + (D4/ 1440)</f>
        <v>0.42708333333333331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</row>
    <row r="6" spans="2:13" ht="29" x14ac:dyDescent="0.35">
      <c r="B6" s="3" t="s">
        <v>170</v>
      </c>
      <c r="C6" s="7">
        <v>6.2500000000000003E-3</v>
      </c>
      <c r="D6" s="4">
        <v>5</v>
      </c>
      <c r="E6" s="8" t="s">
        <v>8</v>
      </c>
      <c r="F6" s="1">
        <f t="shared" si="0"/>
        <v>0.43055555555555552</v>
      </c>
      <c r="G6" s="9" t="b">
        <v>0</v>
      </c>
      <c r="H6" s="9" t="b">
        <v>0</v>
      </c>
      <c r="I6" s="9" t="b">
        <v>0</v>
      </c>
      <c r="J6" s="9" t="b">
        <v>0</v>
      </c>
      <c r="K6" s="9" t="b">
        <v>0</v>
      </c>
      <c r="L6" s="9" t="b">
        <v>0</v>
      </c>
      <c r="M6" s="10" t="b">
        <v>1</v>
      </c>
    </row>
    <row r="7" spans="2:13" ht="29" x14ac:dyDescent="0.35">
      <c r="B7" s="3" t="s">
        <v>44</v>
      </c>
      <c r="C7" s="7">
        <v>2.013888888888889E-2</v>
      </c>
      <c r="D7" s="4">
        <v>10</v>
      </c>
      <c r="E7" s="8" t="s">
        <v>9</v>
      </c>
      <c r="F7" s="1">
        <f t="shared" si="0"/>
        <v>0.43402777777777773</v>
      </c>
      <c r="G7" s="9" t="b">
        <v>1</v>
      </c>
      <c r="H7" s="9" t="b">
        <v>1</v>
      </c>
      <c r="I7" s="9" t="b">
        <v>0</v>
      </c>
      <c r="J7" s="9" t="b">
        <v>0</v>
      </c>
      <c r="K7" s="9" t="b">
        <v>0</v>
      </c>
      <c r="L7" s="9" t="b">
        <v>0</v>
      </c>
      <c r="M7" s="10" t="b">
        <v>0</v>
      </c>
    </row>
    <row r="8" spans="2:13" x14ac:dyDescent="0.35">
      <c r="B8" s="3" t="s">
        <v>43</v>
      </c>
      <c r="C8" s="7">
        <v>1.7361111111111112E-2</v>
      </c>
      <c r="D8" s="4">
        <v>5</v>
      </c>
      <c r="E8" s="8" t="s">
        <v>12</v>
      </c>
      <c r="F8" s="1">
        <f t="shared" si="0"/>
        <v>0.44097222222222215</v>
      </c>
      <c r="G8" s="9" t="b">
        <v>1</v>
      </c>
      <c r="H8" s="9" t="b">
        <v>1</v>
      </c>
      <c r="I8" s="9" t="b">
        <v>0</v>
      </c>
      <c r="J8" s="9" t="b">
        <v>0</v>
      </c>
      <c r="K8" s="9" t="b">
        <v>0</v>
      </c>
      <c r="L8" s="9" t="b">
        <v>0</v>
      </c>
      <c r="M8" s="10" t="b">
        <v>0</v>
      </c>
    </row>
    <row r="9" spans="2:13" x14ac:dyDescent="0.35">
      <c r="B9" t="s">
        <v>46</v>
      </c>
      <c r="C9" s="1">
        <v>4.8611111111111112E-3</v>
      </c>
      <c r="D9">
        <v>20</v>
      </c>
      <c r="E9" t="s">
        <v>116</v>
      </c>
      <c r="F9" s="1">
        <f t="shared" si="0"/>
        <v>0.44444444444444436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1</v>
      </c>
    </row>
    <row r="10" spans="2:13" x14ac:dyDescent="0.35">
      <c r="B10" t="s">
        <v>60</v>
      </c>
      <c r="C10" s="1">
        <v>6.2500000000000003E-3</v>
      </c>
      <c r="D10">
        <v>10</v>
      </c>
      <c r="E10" t="s">
        <v>115</v>
      </c>
      <c r="F10" s="1">
        <f t="shared" si="0"/>
        <v>0.45833333333333326</v>
      </c>
      <c r="G10" s="5" t="b">
        <v>1</v>
      </c>
      <c r="H10" s="5" t="b">
        <v>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</row>
    <row r="11" spans="2:13" x14ac:dyDescent="0.35">
      <c r="B11" t="s">
        <v>172</v>
      </c>
      <c r="D11">
        <v>15</v>
      </c>
      <c r="E11" t="s">
        <v>171</v>
      </c>
      <c r="F11" s="1">
        <f t="shared" si="0"/>
        <v>0.46527777777777768</v>
      </c>
      <c r="G11" s="5" t="b">
        <v>1</v>
      </c>
      <c r="H11" s="5" t="b">
        <v>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</row>
    <row r="12" spans="2:13" x14ac:dyDescent="0.35">
      <c r="B12" t="s">
        <v>48</v>
      </c>
      <c r="C12" s="1">
        <v>2.013888888888889E-2</v>
      </c>
      <c r="D12">
        <v>20</v>
      </c>
      <c r="E12" t="s">
        <v>122</v>
      </c>
      <c r="F12" s="1">
        <f t="shared" si="0"/>
        <v>0.47569444444444436</v>
      </c>
      <c r="G12" s="5" t="b">
        <v>1</v>
      </c>
      <c r="H12" s="5" t="b">
        <v>1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</row>
    <row r="13" spans="2:13" x14ac:dyDescent="0.35">
      <c r="B13" t="s">
        <v>49</v>
      </c>
      <c r="C13" s="1">
        <v>1.7361111111111112E-2</v>
      </c>
      <c r="D13">
        <v>20</v>
      </c>
      <c r="E13" t="s">
        <v>123</v>
      </c>
      <c r="F13" s="1">
        <f t="shared" si="0"/>
        <v>0.48958333333333326</v>
      </c>
      <c r="G13" s="5" t="b">
        <v>1</v>
      </c>
      <c r="H13" s="5" t="b">
        <v>1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</row>
    <row r="14" spans="2:13" x14ac:dyDescent="0.35">
      <c r="B14" s="3" t="s">
        <v>34</v>
      </c>
      <c r="C14" s="7"/>
      <c r="D14" s="4">
        <v>60</v>
      </c>
      <c r="E14" s="4"/>
      <c r="F14" s="1">
        <f t="shared" si="0"/>
        <v>0.5034722222222221</v>
      </c>
      <c r="G14" s="9" t="b">
        <v>0</v>
      </c>
      <c r="H14" s="9" t="b">
        <v>0</v>
      </c>
      <c r="I14" s="9" t="b">
        <v>0</v>
      </c>
      <c r="J14" s="9" t="b">
        <v>0</v>
      </c>
      <c r="K14" s="9" t="b">
        <v>0</v>
      </c>
      <c r="L14" s="9" t="b">
        <v>0</v>
      </c>
      <c r="M14" s="10" t="b">
        <v>1</v>
      </c>
    </row>
    <row r="15" spans="2:13" x14ac:dyDescent="0.35">
      <c r="B15" t="s">
        <v>63</v>
      </c>
      <c r="D15">
        <v>20</v>
      </c>
      <c r="E15" t="s">
        <v>124</v>
      </c>
      <c r="F15" s="1">
        <f t="shared" si="0"/>
        <v>0.54513888888888873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1</v>
      </c>
    </row>
    <row r="16" spans="2:13" x14ac:dyDescent="0.35">
      <c r="B16" t="s">
        <v>64</v>
      </c>
      <c r="C16" s="1">
        <v>2.5694444444444443E-2</v>
      </c>
      <c r="D16">
        <v>10</v>
      </c>
      <c r="E16" t="s">
        <v>125</v>
      </c>
      <c r="F16" s="1">
        <f t="shared" si="0"/>
        <v>0.55902777777777757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1</v>
      </c>
    </row>
    <row r="17" spans="2:13" x14ac:dyDescent="0.35">
      <c r="B17" t="s">
        <v>65</v>
      </c>
      <c r="D17">
        <v>10</v>
      </c>
      <c r="E17" t="s">
        <v>126</v>
      </c>
      <c r="F17" s="1">
        <f t="shared" si="0"/>
        <v>0.56597222222222199</v>
      </c>
      <c r="G17" s="5" t="b">
        <v>1</v>
      </c>
      <c r="H17" s="5" t="b">
        <v>1</v>
      </c>
      <c r="I17" s="5" t="b">
        <v>1</v>
      </c>
      <c r="J17" s="5" t="b">
        <v>1</v>
      </c>
      <c r="K17" s="5" t="b">
        <v>0</v>
      </c>
      <c r="L17" s="5" t="b">
        <v>0</v>
      </c>
      <c r="M17" s="5" t="b">
        <v>0</v>
      </c>
    </row>
    <row r="18" spans="2:13" x14ac:dyDescent="0.35">
      <c r="B18" t="s">
        <v>66</v>
      </c>
      <c r="D18">
        <v>10</v>
      </c>
      <c r="E18" t="s">
        <v>127</v>
      </c>
      <c r="F18" s="1">
        <f t="shared" si="0"/>
        <v>0.57291666666666641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1</v>
      </c>
    </row>
    <row r="19" spans="2:13" x14ac:dyDescent="0.35">
      <c r="B19" t="s">
        <v>67</v>
      </c>
      <c r="D19">
        <v>5</v>
      </c>
      <c r="E19" t="s">
        <v>128</v>
      </c>
      <c r="F19" s="1">
        <f t="shared" si="0"/>
        <v>0.57986111111111083</v>
      </c>
      <c r="G19" s="5" t="b">
        <v>0</v>
      </c>
      <c r="H19" s="5" t="b">
        <v>0</v>
      </c>
      <c r="I19" s="5" t="b">
        <v>1</v>
      </c>
      <c r="J19" s="5" t="b">
        <v>0</v>
      </c>
      <c r="K19" s="5" t="b">
        <v>0</v>
      </c>
      <c r="L19" s="5" t="b">
        <v>1</v>
      </c>
      <c r="M19" s="5" t="b">
        <v>0</v>
      </c>
    </row>
    <row r="20" spans="2:13" x14ac:dyDescent="0.35">
      <c r="B20" t="s">
        <v>129</v>
      </c>
      <c r="D20">
        <v>10</v>
      </c>
      <c r="E20" t="s">
        <v>132</v>
      </c>
      <c r="F20" s="1">
        <f t="shared" si="0"/>
        <v>0.58333333333333304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1</v>
      </c>
      <c r="L20" s="5" t="b">
        <v>1</v>
      </c>
      <c r="M20" s="5" t="b">
        <v>0</v>
      </c>
    </row>
    <row r="21" spans="2:13" x14ac:dyDescent="0.35">
      <c r="B21" t="s">
        <v>73</v>
      </c>
      <c r="D21">
        <v>5</v>
      </c>
      <c r="E21" t="s">
        <v>133</v>
      </c>
      <c r="F21" s="1">
        <f t="shared" si="0"/>
        <v>0.59027777777777746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1</v>
      </c>
    </row>
    <row r="22" spans="2:13" x14ac:dyDescent="0.35">
      <c r="B22" t="s">
        <v>74</v>
      </c>
      <c r="D22">
        <v>10</v>
      </c>
      <c r="F22" s="1">
        <f t="shared" si="0"/>
        <v>0.59374999999999967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</row>
    <row r="23" spans="2:13" x14ac:dyDescent="0.35">
      <c r="B23" t="s">
        <v>75</v>
      </c>
      <c r="D23">
        <v>10</v>
      </c>
      <c r="E23" t="s">
        <v>134</v>
      </c>
      <c r="F23" s="1">
        <f t="shared" si="0"/>
        <v>0.60069444444444409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1</v>
      </c>
    </row>
    <row r="24" spans="2:13" x14ac:dyDescent="0.35">
      <c r="B24" t="s">
        <v>76</v>
      </c>
      <c r="C24" s="1">
        <v>1.2500000000000001E-2</v>
      </c>
      <c r="D24">
        <v>15</v>
      </c>
      <c r="E24" t="s">
        <v>135</v>
      </c>
      <c r="F24" s="1">
        <f t="shared" si="0"/>
        <v>0.60763888888888851</v>
      </c>
      <c r="G24" s="5" t="b">
        <v>0</v>
      </c>
      <c r="H24" s="5" t="b">
        <v>0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</row>
    <row r="25" spans="2:13" x14ac:dyDescent="0.35">
      <c r="B25" t="s">
        <v>77</v>
      </c>
      <c r="C25" s="1">
        <v>2.361111111111111E-2</v>
      </c>
      <c r="D25">
        <v>10</v>
      </c>
      <c r="E25" t="s">
        <v>136</v>
      </c>
      <c r="F25" s="1">
        <f t="shared" si="0"/>
        <v>0.61805555555555514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1</v>
      </c>
    </row>
    <row r="26" spans="2:13" x14ac:dyDescent="0.35">
      <c r="B26" t="s">
        <v>78</v>
      </c>
      <c r="C26" s="1">
        <v>2.5694444444444443E-2</v>
      </c>
      <c r="D26">
        <v>5</v>
      </c>
      <c r="E26" t="s">
        <v>137</v>
      </c>
      <c r="F26" s="1">
        <f t="shared" si="0"/>
        <v>0.62499999999999956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1</v>
      </c>
    </row>
    <row r="27" spans="2:13" x14ac:dyDescent="0.35">
      <c r="G27" s="16">
        <f>COUNTIF(tuesday[Copilot],TRUE)</f>
        <v>8</v>
      </c>
      <c r="H27" s="16">
        <f>COUNTIF(tuesday[Claude],TRUE)</f>
        <v>8</v>
      </c>
      <c r="I27" s="16">
        <f>COUNTIF(tuesday[Visual Studio],TRUE)</f>
        <v>2</v>
      </c>
      <c r="J27" s="16">
        <f>COUNTIF(tuesday[VS Code],TRUE)</f>
        <v>1</v>
      </c>
      <c r="K27" s="16">
        <f>COUNTIF(tuesday[GitHub],TRUE)</f>
        <v>1</v>
      </c>
      <c r="L27" s="16">
        <f>COUNTIF(tuesday[AzDO],TRUE)</f>
        <v>2</v>
      </c>
      <c r="M27" s="16">
        <f>COUNTIF(tuesday[Agnostic],TRUE)</f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M11"/>
  <sheetViews>
    <sheetView workbookViewId="0">
      <selection activeCell="G11" sqref="G11:M11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15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t="s">
        <v>86</v>
      </c>
      <c r="D4">
        <v>15</v>
      </c>
      <c r="E4" t="s">
        <v>140</v>
      </c>
      <c r="F4" s="1">
        <f>F3 + (D3/ 1440)</f>
        <v>0.42708333333333337</v>
      </c>
      <c r="G4" s="5" t="b">
        <v>1</v>
      </c>
      <c r="H4" s="5" t="b">
        <v>1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</row>
    <row r="5" spans="2:13" x14ac:dyDescent="0.35">
      <c r="B5" s="3" t="s">
        <v>138</v>
      </c>
      <c r="C5" s="7"/>
      <c r="D5" s="4">
        <v>15</v>
      </c>
      <c r="E5" s="4" t="s">
        <v>138</v>
      </c>
      <c r="F5" s="1">
        <f t="shared" ref="F5:F9" si="0">F4 + (D4/ 1440)</f>
        <v>0.43750000000000006</v>
      </c>
      <c r="G5" s="9" t="b">
        <v>1</v>
      </c>
      <c r="H5" s="9" t="b">
        <v>1</v>
      </c>
      <c r="I5" s="9" t="b">
        <v>0</v>
      </c>
      <c r="J5" s="9" t="b">
        <v>0</v>
      </c>
      <c r="K5" s="9" t="b">
        <v>0</v>
      </c>
      <c r="L5" s="9" t="b">
        <v>0</v>
      </c>
      <c r="M5" s="10" t="b">
        <v>0</v>
      </c>
    </row>
    <row r="6" spans="2:13" x14ac:dyDescent="0.35">
      <c r="B6" t="s">
        <v>173</v>
      </c>
      <c r="D6">
        <v>40</v>
      </c>
      <c r="E6" t="s">
        <v>174</v>
      </c>
      <c r="F6" s="1">
        <f t="shared" si="0"/>
        <v>0.44791666666666674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1</v>
      </c>
    </row>
    <row r="7" spans="2:13" x14ac:dyDescent="0.35">
      <c r="B7" t="s">
        <v>175</v>
      </c>
      <c r="D7">
        <v>40</v>
      </c>
      <c r="E7" t="s">
        <v>176</v>
      </c>
      <c r="F7" s="1">
        <f t="shared" si="0"/>
        <v>0.47569444444444453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87</v>
      </c>
      <c r="D8">
        <v>5</v>
      </c>
      <c r="E8" t="s">
        <v>141</v>
      </c>
      <c r="F8" s="1">
        <f t="shared" si="0"/>
        <v>0.50347222222222232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s="3" t="s">
        <v>85</v>
      </c>
      <c r="C9" s="7"/>
      <c r="D9" s="4">
        <v>15</v>
      </c>
      <c r="E9" s="4" t="s">
        <v>139</v>
      </c>
      <c r="F9" s="1">
        <f t="shared" si="0"/>
        <v>0.50694444444444453</v>
      </c>
      <c r="G9" s="9" t="b">
        <v>1</v>
      </c>
      <c r="H9" s="9" t="b">
        <v>1</v>
      </c>
      <c r="I9" s="9" t="b">
        <v>1</v>
      </c>
      <c r="J9" s="9" t="b">
        <v>1</v>
      </c>
      <c r="K9" s="9" t="b">
        <v>0</v>
      </c>
      <c r="L9" s="9" t="b">
        <v>0</v>
      </c>
      <c r="M9" s="10" t="b">
        <v>0</v>
      </c>
    </row>
    <row r="10" spans="2:13" x14ac:dyDescent="0.35">
      <c r="B10" s="11" t="s">
        <v>177</v>
      </c>
      <c r="C10" s="12"/>
      <c r="D10" s="13">
        <v>40</v>
      </c>
      <c r="E10" s="13" t="s">
        <v>139</v>
      </c>
      <c r="F10" s="1">
        <f t="shared" ref="F10" si="1">F9 + (D9/ 1440)</f>
        <v>0.51736111111111116</v>
      </c>
      <c r="G10" s="14" t="b">
        <v>1</v>
      </c>
      <c r="H10" s="14" t="b">
        <v>1</v>
      </c>
      <c r="I10" s="14" t="b">
        <v>1</v>
      </c>
      <c r="J10" s="14" t="b">
        <v>1</v>
      </c>
      <c r="K10" s="14" t="b">
        <v>0</v>
      </c>
      <c r="L10" s="14" t="b">
        <v>0</v>
      </c>
      <c r="M10" s="15" t="b">
        <v>0</v>
      </c>
    </row>
    <row r="11" spans="2:13" x14ac:dyDescent="0.35">
      <c r="G11" s="16">
        <f>COUNTIF(wednesday[Copilot],TRUE)</f>
        <v>4</v>
      </c>
      <c r="H11" s="16">
        <f>COUNTIF(wednesday[Claude],TRUE)</f>
        <v>4</v>
      </c>
      <c r="I11" s="16">
        <f>COUNTIF(wednesday[Visual Studio],TRUE)</f>
        <v>2</v>
      </c>
      <c r="J11" s="16">
        <f>COUNTIF(wednesday[VS Code],TRUE)</f>
        <v>2</v>
      </c>
      <c r="K11" s="16">
        <f>COUNTIF(wednesday[GitHub],TRUE)</f>
        <v>0</v>
      </c>
      <c r="L11" s="16">
        <f>COUNTIF(wednesday[AzDO],TRUE)</f>
        <v>0</v>
      </c>
      <c r="M11" s="16">
        <f>COUNTIF(wednesday[Agnostic],TRUE)</f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M15"/>
  <sheetViews>
    <sheetView workbookViewId="0">
      <selection activeCell="M15" sqref="G15:M15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15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t="s">
        <v>96</v>
      </c>
      <c r="D4">
        <v>20</v>
      </c>
      <c r="E4" t="s">
        <v>150</v>
      </c>
      <c r="F4" s="1">
        <f t="shared" ref="F4:F14" si="0">F3 + (D3/ 1440)</f>
        <v>0.42708333333333337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1</v>
      </c>
    </row>
    <row r="5" spans="2:13" x14ac:dyDescent="0.35">
      <c r="B5" t="s">
        <v>130</v>
      </c>
      <c r="D5">
        <v>10</v>
      </c>
      <c r="E5" t="s">
        <v>131</v>
      </c>
      <c r="F5" s="1">
        <f t="shared" si="0"/>
        <v>0.44097222222222227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1</v>
      </c>
      <c r="L5" s="5" t="b">
        <v>1</v>
      </c>
      <c r="M5" s="5" t="b">
        <v>0</v>
      </c>
    </row>
    <row r="6" spans="2:13" x14ac:dyDescent="0.35">
      <c r="B6" t="s">
        <v>72</v>
      </c>
      <c r="D6">
        <v>10</v>
      </c>
      <c r="E6" t="s">
        <v>144</v>
      </c>
      <c r="F6" s="1">
        <f t="shared" si="0"/>
        <v>0.44791666666666669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1</v>
      </c>
    </row>
    <row r="7" spans="2:13" x14ac:dyDescent="0.35">
      <c r="B7" t="s">
        <v>80</v>
      </c>
      <c r="D7">
        <v>15</v>
      </c>
      <c r="E7" t="s">
        <v>146</v>
      </c>
      <c r="F7" s="1">
        <f t="shared" si="0"/>
        <v>0.4548611111111111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81</v>
      </c>
      <c r="D8">
        <v>20</v>
      </c>
      <c r="E8" t="s">
        <v>147</v>
      </c>
      <c r="F8" s="1">
        <f t="shared" si="0"/>
        <v>0.46527777777777779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t="s">
        <v>69</v>
      </c>
      <c r="D9">
        <v>45</v>
      </c>
      <c r="E9" t="s">
        <v>142</v>
      </c>
      <c r="F9" s="1">
        <f t="shared" si="0"/>
        <v>0.47916666666666669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1</v>
      </c>
      <c r="L9" s="5" t="b">
        <v>1</v>
      </c>
      <c r="M9" s="5" t="b">
        <v>0</v>
      </c>
    </row>
    <row r="10" spans="2:13" x14ac:dyDescent="0.35">
      <c r="B10" t="s">
        <v>34</v>
      </c>
      <c r="D10">
        <v>60</v>
      </c>
      <c r="F10" s="1">
        <f t="shared" si="0"/>
        <v>0.51041666666666674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</row>
    <row r="11" spans="2:13" x14ac:dyDescent="0.35">
      <c r="B11" t="s">
        <v>71</v>
      </c>
      <c r="D11">
        <v>15</v>
      </c>
      <c r="E11" t="s">
        <v>143</v>
      </c>
      <c r="F11" s="1">
        <f t="shared" si="0"/>
        <v>0.55208333333333337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1</v>
      </c>
      <c r="L11" s="5" t="b">
        <v>1</v>
      </c>
      <c r="M11" s="5" t="b">
        <v>0</v>
      </c>
    </row>
    <row r="12" spans="2:13" x14ac:dyDescent="0.35">
      <c r="B12" t="s">
        <v>79</v>
      </c>
      <c r="D12">
        <v>20</v>
      </c>
      <c r="E12" t="s">
        <v>145</v>
      </c>
      <c r="F12" s="1">
        <f t="shared" si="0"/>
        <v>0.5625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</row>
    <row r="13" spans="2:13" x14ac:dyDescent="0.35">
      <c r="B13" t="s">
        <v>82</v>
      </c>
      <c r="D13">
        <v>45</v>
      </c>
      <c r="E13" t="s">
        <v>148</v>
      </c>
      <c r="F13" s="1">
        <f t="shared" si="0"/>
        <v>0.57638888888888884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1</v>
      </c>
    </row>
    <row r="14" spans="2:13" x14ac:dyDescent="0.35">
      <c r="B14" t="s">
        <v>83</v>
      </c>
      <c r="D14">
        <v>30</v>
      </c>
      <c r="E14" t="s">
        <v>118</v>
      </c>
      <c r="F14" s="1">
        <f t="shared" si="0"/>
        <v>0.60763888888888884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1</v>
      </c>
    </row>
    <row r="15" spans="2:13" x14ac:dyDescent="0.35">
      <c r="G15" s="16">
        <f>COUNTIF(thursday[Copilot],TRUE)</f>
        <v>0</v>
      </c>
      <c r="H15" s="16">
        <f>COUNTIF(thursday[Claude],TRUE)</f>
        <v>0</v>
      </c>
      <c r="I15" s="16">
        <f>COUNTIF(thursday[Visual Studio],TRUE)</f>
        <v>0</v>
      </c>
      <c r="J15" s="16">
        <f>COUNTIF(thursday[VS Code],TRUE)</f>
        <v>0</v>
      </c>
      <c r="K15" s="16">
        <f>COUNTIF(thursday[GitHub],TRUE)</f>
        <v>3</v>
      </c>
      <c r="L15" s="16">
        <f>COUNTIF(thursday[AzDO],TRUE)</f>
        <v>3</v>
      </c>
      <c r="M15" s="16">
        <f>COUNTIF(thursday[Agnostic],TRUE)</f>
        <v>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M24"/>
  <sheetViews>
    <sheetView workbookViewId="0">
      <selection activeCell="M24" sqref="G24:M24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15</v>
      </c>
      <c r="F3" s="1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t="s">
        <v>97</v>
      </c>
      <c r="D4">
        <v>5</v>
      </c>
      <c r="E4" t="s">
        <v>159</v>
      </c>
      <c r="F4" s="1">
        <f>F3 + (D3/ 1440)</f>
        <v>0.42708333333333337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1</v>
      </c>
    </row>
    <row r="5" spans="2:13" x14ac:dyDescent="0.35">
      <c r="B5" t="s">
        <v>88</v>
      </c>
      <c r="C5" s="1">
        <v>4.8611111111111112E-3</v>
      </c>
      <c r="D5">
        <v>5</v>
      </c>
      <c r="E5" t="s">
        <v>151</v>
      </c>
      <c r="F5" s="1">
        <f t="shared" ref="F5:F23" si="0">F4 + (D4/ 1440)</f>
        <v>0.43055555555555558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</row>
    <row r="6" spans="2:13" x14ac:dyDescent="0.35">
      <c r="B6" t="s">
        <v>90</v>
      </c>
      <c r="D6">
        <v>10</v>
      </c>
      <c r="E6" t="s">
        <v>153</v>
      </c>
      <c r="F6" s="1">
        <f t="shared" si="0"/>
        <v>0.43402777777777779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1</v>
      </c>
    </row>
    <row r="7" spans="2:13" x14ac:dyDescent="0.35">
      <c r="B7" t="s">
        <v>91</v>
      </c>
      <c r="D7">
        <v>5</v>
      </c>
      <c r="E7" t="s">
        <v>154</v>
      </c>
      <c r="F7" s="1">
        <f t="shared" si="0"/>
        <v>0.44097222222222221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89</v>
      </c>
      <c r="D8">
        <v>15</v>
      </c>
      <c r="E8" t="s">
        <v>152</v>
      </c>
      <c r="F8" s="1">
        <f t="shared" si="0"/>
        <v>0.44444444444444442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t="s">
        <v>92</v>
      </c>
      <c r="D9">
        <v>15</v>
      </c>
      <c r="E9" t="s">
        <v>155</v>
      </c>
      <c r="F9" s="1">
        <f t="shared" si="0"/>
        <v>0.4548611111111111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1</v>
      </c>
    </row>
    <row r="10" spans="2:13" x14ac:dyDescent="0.35">
      <c r="B10" t="s">
        <v>93</v>
      </c>
      <c r="D10">
        <v>20</v>
      </c>
      <c r="E10" t="s">
        <v>156</v>
      </c>
      <c r="F10" s="1">
        <f t="shared" si="0"/>
        <v>0.46527777777777779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</row>
    <row r="11" spans="2:13" x14ac:dyDescent="0.35">
      <c r="B11" t="s">
        <v>94</v>
      </c>
      <c r="D11">
        <v>15</v>
      </c>
      <c r="E11" t="s">
        <v>157</v>
      </c>
      <c r="F11" s="1">
        <f t="shared" si="0"/>
        <v>0.47916666666666669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1</v>
      </c>
    </row>
    <row r="12" spans="2:13" x14ac:dyDescent="0.35">
      <c r="B12" t="s">
        <v>98</v>
      </c>
      <c r="D12">
        <v>5</v>
      </c>
      <c r="E12" t="s">
        <v>160</v>
      </c>
      <c r="F12" s="1">
        <f t="shared" si="0"/>
        <v>0.48958333333333337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</row>
    <row r="13" spans="2:13" x14ac:dyDescent="0.35">
      <c r="B13" t="s">
        <v>101</v>
      </c>
      <c r="D13">
        <v>5</v>
      </c>
      <c r="E13" t="s">
        <v>163</v>
      </c>
      <c r="F13" s="1">
        <f t="shared" si="0"/>
        <v>0.49305555555555558</v>
      </c>
      <c r="G13" s="5" t="b">
        <v>0</v>
      </c>
      <c r="H13" s="5" t="b">
        <v>0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</row>
    <row r="14" spans="2:13" x14ac:dyDescent="0.35">
      <c r="B14" t="s">
        <v>102</v>
      </c>
      <c r="D14">
        <v>10</v>
      </c>
      <c r="E14" t="s">
        <v>164</v>
      </c>
      <c r="F14" s="1">
        <f t="shared" si="0"/>
        <v>0.49652777777777779</v>
      </c>
      <c r="G14" s="5" t="b">
        <v>0</v>
      </c>
      <c r="H14" s="5" t="b">
        <v>0</v>
      </c>
      <c r="I14" s="5" t="b">
        <v>1</v>
      </c>
      <c r="J14" s="5" t="b">
        <v>1</v>
      </c>
      <c r="K14" s="5" t="b">
        <v>0</v>
      </c>
      <c r="L14" s="5" t="b">
        <v>0</v>
      </c>
      <c r="M14" s="5" t="b">
        <v>0</v>
      </c>
    </row>
    <row r="15" spans="2:13" x14ac:dyDescent="0.35">
      <c r="B15" t="s">
        <v>34</v>
      </c>
      <c r="D15">
        <v>60</v>
      </c>
      <c r="F15" s="1">
        <f t="shared" si="0"/>
        <v>0.50347222222222221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1</v>
      </c>
    </row>
    <row r="16" spans="2:13" x14ac:dyDescent="0.35">
      <c r="B16" t="s">
        <v>95</v>
      </c>
      <c r="D16">
        <v>20</v>
      </c>
      <c r="E16" t="s">
        <v>158</v>
      </c>
      <c r="F16" s="1">
        <f t="shared" si="0"/>
        <v>0.54513888888888884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1</v>
      </c>
    </row>
    <row r="17" spans="2:13" x14ac:dyDescent="0.35">
      <c r="B17" t="s">
        <v>99</v>
      </c>
      <c r="D17">
        <v>40</v>
      </c>
      <c r="E17" t="s">
        <v>161</v>
      </c>
      <c r="F17" s="1">
        <f t="shared" si="0"/>
        <v>0.55902777777777768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</row>
    <row r="18" spans="2:13" x14ac:dyDescent="0.35">
      <c r="B18" t="s">
        <v>100</v>
      </c>
      <c r="D18">
        <v>10</v>
      </c>
      <c r="E18" t="s">
        <v>162</v>
      </c>
      <c r="F18" s="1">
        <f t="shared" si="0"/>
        <v>0.58680555555555547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1</v>
      </c>
      <c r="L18" s="5" t="b">
        <v>1</v>
      </c>
      <c r="M18" s="5" t="b">
        <v>0</v>
      </c>
    </row>
    <row r="19" spans="2:13" x14ac:dyDescent="0.35">
      <c r="B19" t="s">
        <v>103</v>
      </c>
      <c r="D19">
        <v>5</v>
      </c>
      <c r="E19" t="s">
        <v>165</v>
      </c>
      <c r="F19" s="1">
        <f t="shared" si="0"/>
        <v>0.59374999999999989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1</v>
      </c>
    </row>
    <row r="20" spans="2:13" x14ac:dyDescent="0.35">
      <c r="B20" t="s">
        <v>104</v>
      </c>
      <c r="D20">
        <v>20</v>
      </c>
      <c r="E20" t="s">
        <v>166</v>
      </c>
      <c r="F20" s="1">
        <f t="shared" si="0"/>
        <v>0.5972222222222221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1</v>
      </c>
      <c r="L20" s="5" t="b">
        <v>1</v>
      </c>
      <c r="M20" s="5" t="b">
        <v>0</v>
      </c>
    </row>
    <row r="21" spans="2:13" x14ac:dyDescent="0.35">
      <c r="B21" t="s">
        <v>105</v>
      </c>
      <c r="D21">
        <v>15</v>
      </c>
      <c r="E21" t="s">
        <v>167</v>
      </c>
      <c r="F21" s="1">
        <f t="shared" si="0"/>
        <v>0.61111111111111094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1</v>
      </c>
    </row>
    <row r="22" spans="2:13" x14ac:dyDescent="0.35">
      <c r="B22" t="s">
        <v>106</v>
      </c>
      <c r="D22">
        <v>10</v>
      </c>
      <c r="E22" t="s">
        <v>168</v>
      </c>
      <c r="F22" s="1">
        <f t="shared" si="0"/>
        <v>0.62152777777777757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1</v>
      </c>
      <c r="L22" s="5" t="b">
        <v>1</v>
      </c>
      <c r="M22" s="5" t="b">
        <v>0</v>
      </c>
    </row>
    <row r="23" spans="2:13" x14ac:dyDescent="0.35">
      <c r="B23" t="s">
        <v>107</v>
      </c>
      <c r="D23">
        <v>10</v>
      </c>
      <c r="E23" t="s">
        <v>169</v>
      </c>
      <c r="F23" s="1">
        <f t="shared" si="0"/>
        <v>0.62847222222222199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1</v>
      </c>
    </row>
    <row r="24" spans="2:13" x14ac:dyDescent="0.35">
      <c r="G24" s="16">
        <f>COUNTIF(friday[Copilot],TRUE)</f>
        <v>0</v>
      </c>
      <c r="H24" s="16">
        <f>COUNTIF(friday[Claude],TRUE)</f>
        <v>0</v>
      </c>
      <c r="I24" s="16">
        <f>COUNTIF(friday[Visual Studio],TRUE)</f>
        <v>2</v>
      </c>
      <c r="J24" s="16">
        <f>COUNTIF(friday[VS Code],TRUE)</f>
        <v>2</v>
      </c>
      <c r="K24" s="16">
        <f>COUNTIF(friday[GitHub],TRUE)</f>
        <v>3</v>
      </c>
      <c r="L24" s="16">
        <f>COUNTIF(friday[AzDO],TRUE)</f>
        <v>3</v>
      </c>
      <c r="M24" s="16">
        <f>COUNTIF(friday[Agnostic],TRUE)</f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25"/>
  <sheetViews>
    <sheetView tabSelected="1" workbookViewId="0">
      <selection activeCell="H9" activeCellId="2" sqref="D9 E9 H9"/>
    </sheetView>
  </sheetViews>
  <sheetFormatPr defaultRowHeight="14.5" x14ac:dyDescent="0.35"/>
  <cols>
    <col min="2" max="2" width="10.1796875" bestFit="1" customWidth="1"/>
    <col min="3" max="4" width="10.453125" customWidth="1"/>
    <col min="5" max="5" width="14.08984375" bestFit="1" customWidth="1"/>
    <col min="6" max="6" width="10" bestFit="1" customWidth="1"/>
    <col min="7" max="7" width="9" bestFit="1" customWidth="1"/>
    <col min="8" max="8" width="7.54296875" bestFit="1" customWidth="1"/>
    <col min="9" max="9" width="10.26953125" bestFit="1" customWidth="1"/>
  </cols>
  <sheetData>
    <row r="2" spans="2:9" x14ac:dyDescent="0.35">
      <c r="C2" s="23" t="s">
        <v>192</v>
      </c>
      <c r="D2" s="23"/>
      <c r="E2" s="23" t="s">
        <v>190</v>
      </c>
      <c r="F2" s="23"/>
      <c r="G2" s="23" t="s">
        <v>191</v>
      </c>
      <c r="H2" s="23"/>
    </row>
    <row r="3" spans="2:9" x14ac:dyDescent="0.35">
      <c r="B3" s="17" t="s">
        <v>179</v>
      </c>
      <c r="C3" s="17" t="s">
        <v>52</v>
      </c>
      <c r="D3" s="17" t="s">
        <v>53</v>
      </c>
      <c r="E3" s="17" t="s">
        <v>54</v>
      </c>
      <c r="F3" s="17" t="s">
        <v>55</v>
      </c>
      <c r="G3" s="17" t="s">
        <v>56</v>
      </c>
      <c r="H3" s="17" t="s">
        <v>57</v>
      </c>
      <c r="I3" s="17" t="s">
        <v>58</v>
      </c>
    </row>
    <row r="4" spans="2:9" ht="15" thickBot="1" x14ac:dyDescent="0.4">
      <c r="B4" s="18" t="s">
        <v>178</v>
      </c>
      <c r="C4" s="20">
        <f>COUNTIF(monday[Copilot],TRUE)</f>
        <v>8</v>
      </c>
      <c r="D4" s="20">
        <f>COUNTIF(monday[Claude],TRUE)</f>
        <v>8</v>
      </c>
      <c r="E4" s="20">
        <f>COUNTIF(monday[Visual Studio],TRUE)</f>
        <v>2</v>
      </c>
      <c r="F4" s="20">
        <f>COUNTIF(monday[VS Code],TRUE)</f>
        <v>2</v>
      </c>
      <c r="G4" s="20">
        <f>COUNTIF(monday[GitHub],TRUE)</f>
        <v>3</v>
      </c>
      <c r="H4" s="20">
        <f>COUNTIF(monday[AzDO],TRUE)</f>
        <v>3</v>
      </c>
      <c r="I4" s="20">
        <f>COUNTIF(monday[Agnostic],TRUE)</f>
        <v>16</v>
      </c>
    </row>
    <row r="5" spans="2:9" ht="15.5" thickTop="1" thickBot="1" x14ac:dyDescent="0.4">
      <c r="B5" s="19" t="s">
        <v>180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13</v>
      </c>
    </row>
    <row r="6" spans="2:9" ht="15.5" thickTop="1" thickBot="1" x14ac:dyDescent="0.4">
      <c r="B6" s="19" t="s">
        <v>181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.5" thickTop="1" thickBot="1" x14ac:dyDescent="0.4">
      <c r="B7" s="19" t="s">
        <v>182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.5" thickTop="1" thickBot="1" x14ac:dyDescent="0.4">
      <c r="B8" s="19" t="s">
        <v>183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5" thickTop="1" x14ac:dyDescent="0.35">
      <c r="B9" s="19"/>
      <c r="C9" s="21">
        <f>SUM(Totals[Copilot])</f>
        <v>20</v>
      </c>
      <c r="D9" s="21">
        <f>SUM(Totals[Claude])</f>
        <v>20</v>
      </c>
      <c r="E9" s="21">
        <f>SUM(Totals[Visual Studio])</f>
        <v>8</v>
      </c>
      <c r="F9" s="21">
        <f>SUM(Totals[VS Code])</f>
        <v>7</v>
      </c>
      <c r="G9" s="21">
        <f>SUM(Totals[GitHub])</f>
        <v>10</v>
      </c>
      <c r="H9" s="21">
        <f>SUM(Totals[AzDO])</f>
        <v>11</v>
      </c>
      <c r="I9" s="21">
        <f>SUM(Totals[Agnostic])</f>
        <v>57</v>
      </c>
    </row>
    <row r="11" spans="2:9" x14ac:dyDescent="0.35">
      <c r="B11" t="s">
        <v>187</v>
      </c>
    </row>
    <row r="12" spans="2:9" x14ac:dyDescent="0.35">
      <c r="B12" t="s">
        <v>186</v>
      </c>
    </row>
    <row r="13" spans="2:9" x14ac:dyDescent="0.35">
      <c r="B13" t="s">
        <v>184</v>
      </c>
    </row>
    <row r="14" spans="2:9" x14ac:dyDescent="0.35">
      <c r="B14" t="s">
        <v>185</v>
      </c>
    </row>
    <row r="16" spans="2:9" x14ac:dyDescent="0.35">
      <c r="C16" s="22" t="s">
        <v>189</v>
      </c>
      <c r="D16" s="22" t="s">
        <v>190</v>
      </c>
      <c r="E16" s="22" t="s">
        <v>191</v>
      </c>
    </row>
    <row r="17" spans="2:5" x14ac:dyDescent="0.35">
      <c r="C17" s="22" t="s">
        <v>52</v>
      </c>
      <c r="D17" s="22" t="s">
        <v>54</v>
      </c>
      <c r="E17" s="22" t="s">
        <v>56</v>
      </c>
    </row>
    <row r="18" spans="2:5" x14ac:dyDescent="0.35">
      <c r="C18" s="22" t="s">
        <v>52</v>
      </c>
      <c r="D18" s="22" t="s">
        <v>54</v>
      </c>
      <c r="E18" s="22" t="s">
        <v>57</v>
      </c>
    </row>
    <row r="19" spans="2:5" x14ac:dyDescent="0.35">
      <c r="C19" s="22" t="s">
        <v>52</v>
      </c>
      <c r="D19" s="22" t="s">
        <v>55</v>
      </c>
      <c r="E19" s="22" t="s">
        <v>57</v>
      </c>
    </row>
    <row r="20" spans="2:5" x14ac:dyDescent="0.35">
      <c r="C20" s="22" t="s">
        <v>188</v>
      </c>
      <c r="D20" s="22" t="s">
        <v>54</v>
      </c>
      <c r="E20" s="22" t="s">
        <v>56</v>
      </c>
    </row>
    <row r="21" spans="2:5" x14ac:dyDescent="0.35">
      <c r="C21" s="22" t="s">
        <v>188</v>
      </c>
      <c r="D21" s="22" t="s">
        <v>54</v>
      </c>
      <c r="E21" s="22" t="s">
        <v>57</v>
      </c>
    </row>
    <row r="22" spans="2:5" x14ac:dyDescent="0.35">
      <c r="C22" s="22" t="s">
        <v>188</v>
      </c>
      <c r="D22" s="22" t="s">
        <v>55</v>
      </c>
      <c r="E22" s="22" t="s">
        <v>56</v>
      </c>
    </row>
    <row r="23" spans="2:5" x14ac:dyDescent="0.35">
      <c r="C23" s="22" t="s">
        <v>188</v>
      </c>
      <c r="D23" s="22" t="s">
        <v>55</v>
      </c>
      <c r="E23" s="22" t="s">
        <v>57</v>
      </c>
    </row>
    <row r="25" spans="2:5" x14ac:dyDescent="0.35">
      <c r="B25" t="s">
        <v>193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monday</vt:lpstr>
      <vt:lpstr>tuesday</vt:lpstr>
      <vt:lpstr>wednesday</vt:lpstr>
      <vt:lpstr>thursday</vt:lpstr>
      <vt:lpstr>friday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2026-02-20T18:25:58Z</dcterms:modified>
</cp:coreProperties>
</file>